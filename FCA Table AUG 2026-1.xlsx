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CA Table\"/>
    </mc:Choice>
  </mc:AlternateContent>
  <bookViews>
    <workbookView xWindow="0" yWindow="0" windowWidth="19200" windowHeight="11655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Sheet1!$A$1:$L$41</definedName>
    <definedName name="_xlnm.Print_Area" localSheetId="1">Sheet2!$B$2:$M$42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2" l="1"/>
  <c r="M21" i="2"/>
  <c r="L41" i="1"/>
  <c r="L20" i="1"/>
  <c r="L9" i="1"/>
  <c r="M41" i="2"/>
  <c r="J9" i="1" l="1"/>
  <c r="J20" i="1"/>
  <c r="J41" i="1"/>
  <c r="L51" i="2" l="1"/>
  <c r="L41" i="2"/>
  <c r="L29" i="2"/>
  <c r="K51" i="2" l="1"/>
  <c r="K41" i="2"/>
  <c r="K29" i="2"/>
  <c r="K41" i="1"/>
  <c r="K20" i="1"/>
  <c r="K9" i="1"/>
  <c r="F12" i="3" l="1"/>
  <c r="J29" i="2" l="1"/>
  <c r="J41" i="2"/>
  <c r="J51" i="2"/>
  <c r="I51" i="2"/>
  <c r="H51" i="2"/>
  <c r="G51" i="2"/>
  <c r="I41" i="2"/>
  <c r="H41" i="2"/>
  <c r="G41" i="2"/>
  <c r="F41" i="2"/>
  <c r="I29" i="2"/>
  <c r="H29" i="2"/>
  <c r="G29" i="2"/>
  <c r="F29" i="2"/>
  <c r="H21" i="2"/>
  <c r="G21" i="2"/>
  <c r="F21" i="2"/>
  <c r="I41" i="1" l="1"/>
  <c r="I20" i="1"/>
  <c r="I9" i="1"/>
  <c r="H9" i="1" l="1"/>
  <c r="H20" i="1"/>
  <c r="H41" i="1"/>
  <c r="G41" i="1" l="1"/>
  <c r="G20" i="1"/>
  <c r="G9" i="1"/>
  <c r="F20" i="1" l="1"/>
  <c r="F9" i="1"/>
  <c r="F41" i="1"/>
  <c r="E41" i="1" l="1"/>
  <c r="E20" i="1" l="1"/>
  <c r="E9" i="1"/>
  <c r="L21" i="2"/>
  <c r="K21" i="2"/>
  <c r="J21" i="2"/>
  <c r="I21" i="2"/>
</calcChain>
</file>

<file path=xl/comments1.xml><?xml version="1.0" encoding="utf-8"?>
<comments xmlns="http://schemas.openxmlformats.org/spreadsheetml/2006/main">
  <authors>
    <author>Author</author>
    <author>S-D</author>
  </authors>
  <commentList>
    <comment ref="D21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OLD UMF ID: UMFTKB0002
</t>
        </r>
      </text>
    </comment>
    <comment ref="H21" authorId="1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DRG0206-28
TKB0002-14
</t>
        </r>
      </text>
    </comment>
    <comment ref="I21" authorId="1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DRG0206-28
TKB0002-14
</t>
        </r>
      </text>
    </comment>
    <comment ref="J21" authorId="1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UMFDRG0206-41
UMFTKB0002-4
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UMFDRG0206-41
UMFTKB0002-4
</t>
        </r>
      </text>
    </comment>
    <comment ref="L21" authorId="1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UMFDRG0206-41
UMFTKB0002-4
</t>
        </r>
      </text>
    </comment>
  </commentList>
</comments>
</file>

<file path=xl/comments2.xml><?xml version="1.0" encoding="utf-8"?>
<comments xmlns="http://schemas.openxmlformats.org/spreadsheetml/2006/main">
  <authors>
    <author>S-D</author>
  </authors>
  <commentList>
    <comment ref="H12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sajjad using
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NPR-9
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2nd device drg0046
24 fca</t>
        </r>
      </text>
    </comment>
    <comment ref="I31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npr 11
</t>
        </r>
      </text>
    </comment>
    <comment ref="I32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NPR-10
</t>
        </r>
      </text>
    </comment>
    <comment ref="E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 2ND BVS
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UMFDRG0193-1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npr-6
</t>
        </r>
      </text>
    </comment>
    <comment ref="K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UMFDRG0193--63
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UMFDRG0193--106
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UMFDRG0193--63
</t>
        </r>
      </text>
    </comment>
  </commentList>
</comments>
</file>

<file path=xl/comments3.xml><?xml version="1.0" encoding="utf-8"?>
<comments xmlns="http://schemas.openxmlformats.org/spreadsheetml/2006/main">
  <authors>
    <author>S-D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S-D:</t>
        </r>
        <r>
          <rPr>
            <sz val="9"/>
            <color indexed="81"/>
            <rFont val="Tahoma"/>
            <family val="2"/>
          </rPr>
          <t xml:space="preserve">
UMFDRG0193 2ND BVS
</t>
        </r>
      </text>
    </comment>
  </commentList>
</comments>
</file>

<file path=xl/sharedStrings.xml><?xml version="1.0" encoding="utf-8"?>
<sst xmlns="http://schemas.openxmlformats.org/spreadsheetml/2006/main" count="277" uniqueCount="190">
  <si>
    <t xml:space="preserve">SIMS SALE  Details  Monthly </t>
  </si>
  <si>
    <t>S. No</t>
  </si>
  <si>
    <t xml:space="preserve"> Name </t>
  </si>
  <si>
    <t>BVS ID</t>
  </si>
  <si>
    <t xml:space="preserve"> KOT</t>
  </si>
  <si>
    <t>OSSAMA</t>
  </si>
  <si>
    <t>UMFDRG0197</t>
  </si>
  <si>
    <t>HAZRAT NIAZ</t>
  </si>
  <si>
    <t>KOT</t>
  </si>
  <si>
    <t>UMFDRG0151</t>
  </si>
  <si>
    <t>JAMAL</t>
  </si>
  <si>
    <t>UMFDRG0133</t>
  </si>
  <si>
    <t>GULAM YOUSAF</t>
  </si>
  <si>
    <t>MENA KOT</t>
  </si>
  <si>
    <t>UMFDRG0182</t>
  </si>
  <si>
    <t>SABIR</t>
  </si>
  <si>
    <t>UMFDRG0045</t>
  </si>
  <si>
    <t>NASEER</t>
  </si>
  <si>
    <t>UMFDRG0134</t>
  </si>
  <si>
    <t>SABIR RSO MARKET</t>
  </si>
  <si>
    <t>MARKET FCA</t>
  </si>
  <si>
    <t>AMEER BAHDAR</t>
  </si>
  <si>
    <t>GHARI USMANI KHEL</t>
  </si>
  <si>
    <t>UMFBKH0063</t>
  </si>
  <si>
    <t>YASEEN</t>
  </si>
  <si>
    <t xml:space="preserve"> HARYANKOT</t>
  </si>
  <si>
    <t>UMFBKH0042</t>
  </si>
  <si>
    <t>TARIQ</t>
  </si>
  <si>
    <t>HARYANKOT</t>
  </si>
  <si>
    <t>UMFDRG0128</t>
  </si>
  <si>
    <t>ZOHAIB</t>
  </si>
  <si>
    <t>UR00000822</t>
  </si>
  <si>
    <t>MUSLIM KHAN</t>
  </si>
  <si>
    <t>UR00000914</t>
  </si>
  <si>
    <t>UR00000957</t>
  </si>
  <si>
    <t>YOUSAF KHAN</t>
  </si>
  <si>
    <t>HARYANKOT BARGHE</t>
  </si>
  <si>
    <t>aimal khan</t>
  </si>
  <si>
    <t xml:space="preserve">Musa Mena Hijab Kalye </t>
  </si>
  <si>
    <t>UR00002517</t>
  </si>
  <si>
    <t xml:space="preserve">HABIB  </t>
  </si>
  <si>
    <t>PALOW NOW</t>
  </si>
  <si>
    <t>UMFBKH0261</t>
  </si>
  <si>
    <t>RIAZ RSO MARKET</t>
  </si>
  <si>
    <t>NOOR HALEEM</t>
  </si>
  <si>
    <t>SAKHAKOT</t>
  </si>
  <si>
    <t>NAWAB</t>
  </si>
  <si>
    <t>UMFMNG0054</t>
  </si>
  <si>
    <t>FALAK NAZ</t>
  </si>
  <si>
    <t>GHANI DEHRE</t>
  </si>
  <si>
    <t>UMFBKH0055</t>
  </si>
  <si>
    <t>ZEESHAN</t>
  </si>
  <si>
    <t>BADRRAGA</t>
  </si>
  <si>
    <t>UMFDRG0050</t>
  </si>
  <si>
    <t>SHAH FAISAL</t>
  </si>
  <si>
    <t xml:space="preserve"> SAKHAKOT</t>
  </si>
  <si>
    <t>UMFDRG0001</t>
  </si>
  <si>
    <t xml:space="preserve">GUL NABI </t>
  </si>
  <si>
    <t>UMFBKH0046</t>
  </si>
  <si>
    <t>SHAH JEHAN</t>
  </si>
  <si>
    <t>UMFBKH0013</t>
  </si>
  <si>
    <t xml:space="preserve">KHANDO PULL </t>
  </si>
  <si>
    <t>UMFDRG0170</t>
  </si>
  <si>
    <t>REHMAN ALI</t>
  </si>
  <si>
    <t>SHAH MELAT</t>
  </si>
  <si>
    <t>UMFDRG0183</t>
  </si>
  <si>
    <t>TAUSIF</t>
  </si>
  <si>
    <t>UMFDRG0196</t>
  </si>
  <si>
    <t>JUNAID</t>
  </si>
  <si>
    <t>UMFDRG0184</t>
  </si>
  <si>
    <t>KASHIF RAZA</t>
  </si>
  <si>
    <t>UMFDRG0217</t>
  </si>
  <si>
    <t>ADIL</t>
  </si>
  <si>
    <t>GHAWAR KALYE</t>
  </si>
  <si>
    <t>UMFDRG0148</t>
  </si>
  <si>
    <t>FARMAN</t>
  </si>
  <si>
    <t>UMFDRG0219</t>
  </si>
  <si>
    <t>TAIMUR</t>
  </si>
  <si>
    <t>BADRAGGA</t>
  </si>
  <si>
    <t>UR00000903</t>
  </si>
  <si>
    <t>AMJID</t>
  </si>
  <si>
    <t>UMFDRG0179</t>
  </si>
  <si>
    <t>HILAL AHMAD</t>
  </si>
  <si>
    <t>Badraga</t>
  </si>
  <si>
    <t>UR00001476</t>
  </si>
  <si>
    <t xml:space="preserve">MEHRAN  RSO </t>
  </si>
  <si>
    <t>UR00001598</t>
  </si>
  <si>
    <t>AYAZ</t>
  </si>
  <si>
    <t>REDAWANO KHADU PUL</t>
  </si>
  <si>
    <t>UMFDRG0178</t>
  </si>
  <si>
    <t>KHIZAR ALI RSO MARKET</t>
  </si>
  <si>
    <t>UMFDRG0211</t>
  </si>
  <si>
    <t>KHIZER  -RSO</t>
  </si>
  <si>
    <t>RIAZ KHAN RSO</t>
  </si>
  <si>
    <t>UMFDRG0206-2</t>
  </si>
  <si>
    <t>UR00003861</t>
  </si>
  <si>
    <t>UR00006220</t>
  </si>
  <si>
    <t>Hamza</t>
  </si>
  <si>
    <t xml:space="preserve">ZAMAN </t>
  </si>
  <si>
    <t>DARGAI BAZAR</t>
  </si>
  <si>
    <t>UMFDRG0089</t>
  </si>
  <si>
    <t>ATTA UR REHMAN</t>
  </si>
  <si>
    <t>WARTAIR</t>
  </si>
  <si>
    <t>UMFDRG0175</t>
  </si>
  <si>
    <t xml:space="preserve">NAVEED </t>
  </si>
  <si>
    <t>UMFBKH0009</t>
  </si>
  <si>
    <t>HUSSNI MUBARAK</t>
  </si>
  <si>
    <t>QALDARA</t>
  </si>
  <si>
    <t>UMFDRG0185</t>
  </si>
  <si>
    <t>UMFDRG0051</t>
  </si>
  <si>
    <t>GUHAR</t>
  </si>
  <si>
    <t>UMFDRG0153</t>
  </si>
  <si>
    <t>WAJID</t>
  </si>
  <si>
    <t>DARGAI PATTAK</t>
  </si>
  <si>
    <t>UMFDRG0215</t>
  </si>
  <si>
    <t>KHOSH NOUD</t>
  </si>
  <si>
    <t>UMFDIK1337</t>
  </si>
  <si>
    <t>Murad</t>
  </si>
  <si>
    <t>UMFDRG0046</t>
  </si>
  <si>
    <t>MASAOOD</t>
  </si>
  <si>
    <t xml:space="preserve">JAAN BAHADAR HOTEL </t>
  </si>
  <si>
    <t>UR00001377</t>
  </si>
  <si>
    <t>GUHAR HUSSAIN</t>
  </si>
  <si>
    <t>NOR ISLAM MARKET BARANG ADA</t>
  </si>
  <si>
    <t>UR00001156</t>
  </si>
  <si>
    <t xml:space="preserve">SHAHID </t>
  </si>
  <si>
    <t>UMFDRG0160</t>
  </si>
  <si>
    <t>shar ali</t>
  </si>
  <si>
    <t>UMFDRG0216</t>
  </si>
  <si>
    <t xml:space="preserve">SHAUKAT  </t>
  </si>
  <si>
    <t xml:space="preserve"> NEAR JEHAN BAHDAR HOTEL </t>
  </si>
  <si>
    <t>UMFDRG0143</t>
  </si>
  <si>
    <t>UMFDRG0010</t>
  </si>
  <si>
    <t>UMFDRG0190</t>
  </si>
  <si>
    <t>MAAZ   RSO MARKET</t>
  </si>
  <si>
    <t xml:space="preserve">FRANCHISE </t>
  </si>
  <si>
    <t>OFFICE</t>
  </si>
  <si>
    <t>UMFDRG0039</t>
  </si>
  <si>
    <t>Shahab</t>
  </si>
  <si>
    <t>UMFDRG0028</t>
  </si>
  <si>
    <t>UMFDRG001-15965</t>
  </si>
  <si>
    <t>UMFDRG001-5539</t>
  </si>
  <si>
    <t>UMFBKH0001</t>
  </si>
  <si>
    <t>UMFBKH0019</t>
  </si>
  <si>
    <t>FRANCHISE</t>
  </si>
  <si>
    <t>WAQAS ELECRTIC</t>
  </si>
  <si>
    <t>UMFDRG0207</t>
  </si>
  <si>
    <t>SAJJAD CELL CITY</t>
  </si>
  <si>
    <t>UR00000415</t>
  </si>
  <si>
    <t>IHSAN DSO</t>
  </si>
  <si>
    <t>DARGAI</t>
  </si>
  <si>
    <t>UMFDRG0031</t>
  </si>
  <si>
    <t>SAJID</t>
  </si>
  <si>
    <t>UMFDRG0004</t>
  </si>
  <si>
    <t>HUSSAIN</t>
  </si>
  <si>
    <t>UMFDRG0032</t>
  </si>
  <si>
    <t>UMFDRG0161</t>
  </si>
  <si>
    <t>ARSHAD  DSO</t>
  </si>
  <si>
    <t>UMFDRG0189</t>
  </si>
  <si>
    <t>AKHTAR ZAMAN</t>
  </si>
  <si>
    <t>UMFDRG0203</t>
  </si>
  <si>
    <t>TKB</t>
  </si>
  <si>
    <t>UMFTKB0285</t>
  </si>
  <si>
    <t>UMFMAR1478</t>
  </si>
  <si>
    <t>UMFMAR1503</t>
  </si>
  <si>
    <t>UMFTKB0286</t>
  </si>
  <si>
    <t>TKB FCA</t>
  </si>
  <si>
    <t>MASHAL -BDO</t>
  </si>
  <si>
    <t>BDO</t>
  </si>
  <si>
    <t>UR00003830</t>
  </si>
  <si>
    <t>UMFDRG001-6659</t>
  </si>
  <si>
    <t>Hamid</t>
  </si>
  <si>
    <t>UR00005163</t>
  </si>
  <si>
    <t>CARE BVS</t>
  </si>
  <si>
    <t>Other DSOs BVS</t>
  </si>
  <si>
    <t>BAHAR KHAN DSO</t>
  </si>
  <si>
    <t xml:space="preserve">IHSAN ULLAH DSO </t>
  </si>
  <si>
    <t>HARYANKOT (bjr)</t>
  </si>
  <si>
    <t>FCA</t>
  </si>
  <si>
    <t>DSO s</t>
  </si>
  <si>
    <t>Shahab Personal</t>
  </si>
  <si>
    <t>QASIM</t>
  </si>
  <si>
    <t>SONRA</t>
  </si>
  <si>
    <t>KAZIM</t>
  </si>
  <si>
    <t>UR00005505</t>
  </si>
  <si>
    <t>AL JAZEERA MARKET</t>
  </si>
  <si>
    <t>UR00007762</t>
  </si>
  <si>
    <t>SHAH PLAZA</t>
  </si>
  <si>
    <t>ATTA ULLAH</t>
  </si>
  <si>
    <t>SHEHZAD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</si>
</sst>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Calibri"/>
      <family val="2"/>
      <scheme val="minor"/>
    </font>
    <font>
      <b/>
      <sz val="8"/>
      <name val="Times New Roman"/>
      <family val="1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" fontId="10" fillId="2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4" fillId="2" borderId="2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/>
    </xf>
    <xf numFmtId="0" fontId="10" fillId="0" borderId="12" xfId="0" applyFont="1" applyFill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5" fillId="4" borderId="5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left"/>
    </xf>
    <xf numFmtId="0" fontId="10" fillId="0" borderId="17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/>
    </xf>
    <xf numFmtId="0" fontId="10" fillId="5" borderId="7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5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left"/>
    </xf>
    <xf numFmtId="0" fontId="15" fillId="5" borderId="7" xfId="0" applyFont="1" applyFill="1" applyBorder="1" applyAlignment="1">
      <alignment horizontal="left"/>
    </xf>
    <xf numFmtId="0" fontId="15" fillId="5" borderId="9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3" fillId="0" borderId="15" xfId="0" applyFont="1" applyFill="1" applyBorder="1" applyAlignment="1">
      <alignment horizontal="left"/>
    </xf>
    <xf numFmtId="0" fontId="10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left"/>
    </xf>
    <xf numFmtId="0" fontId="10" fillId="0" borderId="18" xfId="0" applyFont="1" applyFill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0" fillId="3" borderId="8" xfId="0" applyFill="1" applyBorder="1"/>
    <xf numFmtId="0" fontId="16" fillId="3" borderId="7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7" fontId="10" fillId="5" borderId="7" xfId="0" applyNumberFormat="1" applyFont="1" applyFill="1" applyBorder="1" applyAlignment="1">
      <alignment horizontal="center" vertical="center"/>
    </xf>
    <xf numFmtId="164" fontId="10" fillId="5" borderId="9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8" xfId="0" applyFont="1" applyFill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5" fillId="4" borderId="7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/>
    </xf>
    <xf numFmtId="0" fontId="1" fillId="5" borderId="18" xfId="0" applyFont="1" applyFill="1" applyBorder="1" applyAlignment="1">
      <alignment horizontal="center"/>
    </xf>
    <xf numFmtId="164" fontId="10" fillId="5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6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topLeftCell="A16" workbookViewId="0">
      <selection activeCell="N25" sqref="N25"/>
    </sheetView>
  </sheetViews>
  <sheetFormatPr defaultRowHeight="15" x14ac:dyDescent="0.25"/>
  <cols>
    <col min="1" max="1" width="5.140625" bestFit="1" customWidth="1"/>
    <col min="2" max="2" width="19.28515625" bestFit="1" customWidth="1"/>
    <col min="3" max="3" width="27.7109375" bestFit="1" customWidth="1"/>
    <col min="4" max="4" width="15" bestFit="1" customWidth="1"/>
    <col min="5" max="5" width="6.42578125" hidden="1" customWidth="1"/>
    <col min="6" max="6" width="6.28515625" hidden="1" customWidth="1"/>
    <col min="7" max="7" width="6.85546875" hidden="1" customWidth="1"/>
    <col min="8" max="9" width="6.5703125" hidden="1" customWidth="1"/>
    <col min="10" max="10" width="6.5703125" bestFit="1" customWidth="1"/>
    <col min="11" max="11" width="6.140625" bestFit="1" customWidth="1"/>
    <col min="12" max="12" width="6.85546875" bestFit="1" customWidth="1"/>
  </cols>
  <sheetData>
    <row r="1" spans="1:12" ht="15.75" x14ac:dyDescent="0.2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1"/>
      <c r="K1" s="132"/>
      <c r="L1" s="132"/>
    </row>
    <row r="2" spans="1:12" s="7" customFormat="1" ht="12.75" x14ac:dyDescent="0.2">
      <c r="A2" s="5" t="s">
        <v>1</v>
      </c>
      <c r="B2" s="5" t="s">
        <v>2</v>
      </c>
      <c r="C2" s="5" t="s">
        <v>20</v>
      </c>
      <c r="D2" s="5" t="s">
        <v>3</v>
      </c>
      <c r="E2" s="6">
        <v>46053</v>
      </c>
      <c r="F2" s="9">
        <v>46079</v>
      </c>
      <c r="G2" s="6">
        <v>46105</v>
      </c>
      <c r="H2" s="6">
        <v>46136</v>
      </c>
      <c r="I2" s="6">
        <v>46166</v>
      </c>
      <c r="J2" s="6">
        <v>46197</v>
      </c>
      <c r="K2" s="6">
        <v>46227</v>
      </c>
      <c r="L2" s="6">
        <v>46258</v>
      </c>
    </row>
    <row r="3" spans="1:12" x14ac:dyDescent="0.25">
      <c r="A3" s="4">
        <v>1</v>
      </c>
      <c r="B3" s="11" t="s">
        <v>5</v>
      </c>
      <c r="C3" s="11" t="s">
        <v>4</v>
      </c>
      <c r="D3" s="11" t="s">
        <v>6</v>
      </c>
      <c r="E3" s="133">
        <v>3</v>
      </c>
      <c r="F3" s="133">
        <v>4</v>
      </c>
      <c r="G3" s="133">
        <v>2</v>
      </c>
      <c r="H3" s="130">
        <v>2</v>
      </c>
      <c r="I3" s="130">
        <v>1</v>
      </c>
      <c r="J3" s="130">
        <v>1</v>
      </c>
      <c r="K3" s="130">
        <v>1</v>
      </c>
      <c r="L3" s="130">
        <v>2</v>
      </c>
    </row>
    <row r="4" spans="1:12" x14ac:dyDescent="0.25">
      <c r="A4" s="4">
        <v>2</v>
      </c>
      <c r="B4" s="11" t="s">
        <v>7</v>
      </c>
      <c r="C4" s="11" t="s">
        <v>8</v>
      </c>
      <c r="D4" s="11" t="s">
        <v>9</v>
      </c>
      <c r="E4" s="133">
        <v>4</v>
      </c>
      <c r="F4" s="133">
        <v>5</v>
      </c>
      <c r="G4" s="133">
        <v>3</v>
      </c>
      <c r="H4" s="130">
        <v>7</v>
      </c>
      <c r="I4" s="130">
        <v>8</v>
      </c>
      <c r="J4" s="130">
        <v>6</v>
      </c>
      <c r="K4" s="130">
        <v>6</v>
      </c>
      <c r="L4" s="130">
        <v>2</v>
      </c>
    </row>
    <row r="5" spans="1:12" x14ac:dyDescent="0.25">
      <c r="A5" s="4">
        <v>3</v>
      </c>
      <c r="B5" s="11" t="s">
        <v>10</v>
      </c>
      <c r="C5" s="11" t="s">
        <v>4</v>
      </c>
      <c r="D5" s="11" t="s">
        <v>11</v>
      </c>
      <c r="E5" s="133">
        <v>9</v>
      </c>
      <c r="F5" s="133">
        <v>12</v>
      </c>
      <c r="G5" s="133">
        <v>7</v>
      </c>
      <c r="H5" s="130">
        <v>11</v>
      </c>
      <c r="I5" s="130">
        <v>16</v>
      </c>
      <c r="J5" s="130">
        <v>20</v>
      </c>
      <c r="K5" s="130">
        <v>20</v>
      </c>
      <c r="L5" s="130">
        <v>7</v>
      </c>
    </row>
    <row r="6" spans="1:12" x14ac:dyDescent="0.25">
      <c r="A6" s="4">
        <v>4</v>
      </c>
      <c r="B6" s="11" t="s">
        <v>12</v>
      </c>
      <c r="C6" s="11" t="s">
        <v>13</v>
      </c>
      <c r="D6" s="11" t="s">
        <v>14</v>
      </c>
      <c r="E6" s="133">
        <v>6</v>
      </c>
      <c r="F6" s="133">
        <v>3</v>
      </c>
      <c r="G6" s="133">
        <v>5</v>
      </c>
      <c r="H6" s="130">
        <v>6</v>
      </c>
      <c r="I6" s="130">
        <v>8</v>
      </c>
      <c r="J6" s="130">
        <v>3</v>
      </c>
      <c r="K6" s="130">
        <v>3</v>
      </c>
      <c r="L6" s="130">
        <v>4</v>
      </c>
    </row>
    <row r="7" spans="1:12" x14ac:dyDescent="0.25">
      <c r="A7" s="4">
        <v>5</v>
      </c>
      <c r="B7" s="11" t="s">
        <v>15</v>
      </c>
      <c r="C7" s="11" t="s">
        <v>4</v>
      </c>
      <c r="D7" s="11" t="s">
        <v>16</v>
      </c>
      <c r="E7" s="133">
        <v>42</v>
      </c>
      <c r="F7" s="133">
        <v>27</v>
      </c>
      <c r="G7" s="133">
        <v>27</v>
      </c>
      <c r="H7" s="130">
        <v>29</v>
      </c>
      <c r="I7" s="130">
        <v>38</v>
      </c>
      <c r="J7" s="130">
        <v>51</v>
      </c>
      <c r="K7" s="130">
        <v>51</v>
      </c>
      <c r="L7" s="130">
        <v>35</v>
      </c>
    </row>
    <row r="8" spans="1:12" x14ac:dyDescent="0.25">
      <c r="A8" s="4">
        <v>6</v>
      </c>
      <c r="B8" s="11" t="s">
        <v>17</v>
      </c>
      <c r="C8" s="11" t="s">
        <v>8</v>
      </c>
      <c r="D8" s="11" t="s">
        <v>18</v>
      </c>
      <c r="E8" s="133">
        <v>28</v>
      </c>
      <c r="F8" s="133">
        <v>22</v>
      </c>
      <c r="G8" s="133">
        <v>32</v>
      </c>
      <c r="H8" s="130">
        <v>29</v>
      </c>
      <c r="I8" s="130">
        <v>23</v>
      </c>
      <c r="J8" s="130">
        <v>21</v>
      </c>
      <c r="K8" s="130">
        <v>21</v>
      </c>
      <c r="L8" s="130">
        <v>30</v>
      </c>
    </row>
    <row r="9" spans="1:12" x14ac:dyDescent="0.25">
      <c r="A9" s="2"/>
      <c r="B9" s="16" t="s">
        <v>19</v>
      </c>
      <c r="C9" s="16" t="s">
        <v>20</v>
      </c>
      <c r="D9" s="12"/>
      <c r="E9" s="129">
        <f t="shared" ref="E9:K9" si="0">SUM(E3:E8)</f>
        <v>92</v>
      </c>
      <c r="F9" s="129">
        <f t="shared" si="0"/>
        <v>73</v>
      </c>
      <c r="G9" s="129">
        <f t="shared" si="0"/>
        <v>76</v>
      </c>
      <c r="H9" s="129">
        <f t="shared" si="0"/>
        <v>84</v>
      </c>
      <c r="I9" s="129">
        <f t="shared" si="0"/>
        <v>94</v>
      </c>
      <c r="J9" s="129">
        <f>SUM(J3:J8)</f>
        <v>102</v>
      </c>
      <c r="K9" s="129">
        <f t="shared" si="0"/>
        <v>102</v>
      </c>
      <c r="L9" s="129">
        <f t="shared" ref="L9" si="1">SUM(L3:L8)</f>
        <v>80</v>
      </c>
    </row>
    <row r="10" spans="1:12" x14ac:dyDescent="0.25">
      <c r="A10" s="1">
        <v>1</v>
      </c>
      <c r="B10" s="11" t="s">
        <v>21</v>
      </c>
      <c r="C10" s="11" t="s">
        <v>22</v>
      </c>
      <c r="D10" s="11" t="s">
        <v>23</v>
      </c>
      <c r="E10" s="130">
        <v>10</v>
      </c>
      <c r="F10" s="130">
        <v>8</v>
      </c>
      <c r="G10" s="130">
        <v>6</v>
      </c>
      <c r="H10" s="130">
        <v>9</v>
      </c>
      <c r="I10" s="130">
        <v>7</v>
      </c>
      <c r="J10" s="130">
        <v>10</v>
      </c>
      <c r="K10" s="130">
        <v>10</v>
      </c>
      <c r="L10" s="130">
        <v>14</v>
      </c>
    </row>
    <row r="11" spans="1:12" x14ac:dyDescent="0.25">
      <c r="A11" s="1">
        <v>2</v>
      </c>
      <c r="B11" s="11" t="s">
        <v>24</v>
      </c>
      <c r="C11" s="11" t="s">
        <v>25</v>
      </c>
      <c r="D11" s="11" t="s">
        <v>26</v>
      </c>
      <c r="E11" s="130">
        <v>18</v>
      </c>
      <c r="F11" s="130">
        <v>10</v>
      </c>
      <c r="G11" s="130">
        <v>21</v>
      </c>
      <c r="H11" s="130">
        <v>10</v>
      </c>
      <c r="I11" s="130">
        <v>14</v>
      </c>
      <c r="J11" s="130">
        <v>12</v>
      </c>
      <c r="K11" s="130">
        <v>12</v>
      </c>
      <c r="L11" s="130">
        <v>19</v>
      </c>
    </row>
    <row r="12" spans="1:12" x14ac:dyDescent="0.25">
      <c r="A12" s="1">
        <v>3</v>
      </c>
      <c r="B12" s="11" t="s">
        <v>27</v>
      </c>
      <c r="C12" s="11" t="s">
        <v>28</v>
      </c>
      <c r="D12" s="11" t="s">
        <v>29</v>
      </c>
      <c r="E12" s="130">
        <v>12</v>
      </c>
      <c r="F12" s="130">
        <v>9</v>
      </c>
      <c r="G12" s="130">
        <v>7</v>
      </c>
      <c r="H12" s="130">
        <v>15</v>
      </c>
      <c r="I12" s="130">
        <v>5</v>
      </c>
      <c r="J12" s="130">
        <v>10</v>
      </c>
      <c r="K12" s="130">
        <v>10</v>
      </c>
      <c r="L12" s="130">
        <v>4</v>
      </c>
    </row>
    <row r="13" spans="1:12" x14ac:dyDescent="0.25">
      <c r="A13" s="1">
        <v>4</v>
      </c>
      <c r="B13" s="11" t="s">
        <v>30</v>
      </c>
      <c r="C13" s="11" t="s">
        <v>25</v>
      </c>
      <c r="D13" s="11" t="s">
        <v>31</v>
      </c>
      <c r="E13" s="130">
        <v>8</v>
      </c>
      <c r="F13" s="130">
        <v>5</v>
      </c>
      <c r="G13" s="130">
        <v>1</v>
      </c>
      <c r="H13" s="130">
        <v>8</v>
      </c>
      <c r="I13" s="130">
        <v>6</v>
      </c>
      <c r="J13" s="130">
        <v>2</v>
      </c>
      <c r="K13" s="130">
        <v>2</v>
      </c>
      <c r="L13" s="130">
        <v>12</v>
      </c>
    </row>
    <row r="14" spans="1:12" hidden="1" x14ac:dyDescent="0.25">
      <c r="A14" s="1">
        <v>5</v>
      </c>
      <c r="B14" s="11" t="s">
        <v>32</v>
      </c>
      <c r="C14" s="11" t="s">
        <v>22</v>
      </c>
      <c r="D14" s="11" t="s">
        <v>33</v>
      </c>
      <c r="E14" s="130">
        <v>1</v>
      </c>
      <c r="F14" s="130">
        <v>1</v>
      </c>
      <c r="G14" s="130">
        <v>2</v>
      </c>
      <c r="H14" s="130">
        <v>0</v>
      </c>
      <c r="I14" s="130">
        <v>0</v>
      </c>
      <c r="J14" s="130">
        <v>0</v>
      </c>
      <c r="K14" s="130">
        <v>0</v>
      </c>
      <c r="L14" s="130">
        <v>0</v>
      </c>
    </row>
    <row r="15" spans="1:12" x14ac:dyDescent="0.25">
      <c r="A15" s="1">
        <v>6</v>
      </c>
      <c r="B15" s="11" t="s">
        <v>97</v>
      </c>
      <c r="C15" s="11" t="s">
        <v>25</v>
      </c>
      <c r="D15" s="11" t="s">
        <v>34</v>
      </c>
      <c r="E15" s="130">
        <v>0</v>
      </c>
      <c r="F15" s="130">
        <v>0</v>
      </c>
      <c r="G15" s="130">
        <v>0</v>
      </c>
      <c r="H15" s="130">
        <v>0</v>
      </c>
      <c r="I15" s="130">
        <v>1</v>
      </c>
      <c r="J15" s="130">
        <v>0</v>
      </c>
      <c r="K15" s="130">
        <v>0</v>
      </c>
      <c r="L15" s="130">
        <v>0</v>
      </c>
    </row>
    <row r="16" spans="1:12" x14ac:dyDescent="0.25">
      <c r="A16" s="1">
        <v>7</v>
      </c>
      <c r="B16" s="11" t="s">
        <v>35</v>
      </c>
      <c r="C16" s="11" t="s">
        <v>36</v>
      </c>
      <c r="D16" s="13" t="s">
        <v>96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1</v>
      </c>
      <c r="K16" s="130">
        <v>1</v>
      </c>
      <c r="L16" s="130">
        <v>2</v>
      </c>
    </row>
    <row r="17" spans="1:12" hidden="1" x14ac:dyDescent="0.25">
      <c r="A17" s="1">
        <v>8</v>
      </c>
      <c r="B17" s="11" t="s">
        <v>37</v>
      </c>
      <c r="C17" s="11" t="s">
        <v>38</v>
      </c>
      <c r="D17" s="11" t="s">
        <v>39</v>
      </c>
      <c r="E17" s="130">
        <v>1</v>
      </c>
      <c r="F17" s="130">
        <v>1</v>
      </c>
      <c r="G17" s="130">
        <v>1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</row>
    <row r="18" spans="1:12" x14ac:dyDescent="0.25">
      <c r="A18" s="1">
        <v>9</v>
      </c>
      <c r="B18" s="11" t="s">
        <v>40</v>
      </c>
      <c r="C18" s="11" t="s">
        <v>41</v>
      </c>
      <c r="D18" s="11" t="s">
        <v>42</v>
      </c>
      <c r="E18" s="130">
        <v>3</v>
      </c>
      <c r="F18" s="130">
        <v>5</v>
      </c>
      <c r="G18" s="130">
        <v>5</v>
      </c>
      <c r="H18" s="130">
        <v>4</v>
      </c>
      <c r="I18" s="130">
        <v>4</v>
      </c>
      <c r="J18" s="130">
        <v>6</v>
      </c>
      <c r="K18" s="130">
        <v>6</v>
      </c>
      <c r="L18" s="130">
        <v>3</v>
      </c>
    </row>
    <row r="19" spans="1:12" x14ac:dyDescent="0.25">
      <c r="A19" s="1">
        <v>10</v>
      </c>
      <c r="B19" s="11" t="s">
        <v>93</v>
      </c>
      <c r="C19" s="17" t="s">
        <v>28</v>
      </c>
      <c r="D19" s="14" t="s">
        <v>95</v>
      </c>
      <c r="E19" s="133">
        <v>19</v>
      </c>
      <c r="F19" s="133">
        <v>22</v>
      </c>
      <c r="G19" s="130">
        <v>18</v>
      </c>
      <c r="H19" s="130">
        <v>14</v>
      </c>
      <c r="I19" s="130">
        <v>1</v>
      </c>
      <c r="J19" s="130">
        <v>1</v>
      </c>
      <c r="K19" s="130">
        <v>1</v>
      </c>
      <c r="L19" s="130">
        <v>36</v>
      </c>
    </row>
    <row r="20" spans="1:12" x14ac:dyDescent="0.25">
      <c r="A20" s="2"/>
      <c r="B20" s="16" t="s">
        <v>43</v>
      </c>
      <c r="C20" s="16" t="s">
        <v>20</v>
      </c>
      <c r="D20" s="12"/>
      <c r="E20" s="129">
        <f>SUM(E10:E18)</f>
        <v>53</v>
      </c>
      <c r="F20" s="129">
        <f t="shared" ref="F20:L20" si="2">SUM(F10:F19)</f>
        <v>61</v>
      </c>
      <c r="G20" s="129">
        <f t="shared" si="2"/>
        <v>61</v>
      </c>
      <c r="H20" s="129">
        <f t="shared" si="2"/>
        <v>60</v>
      </c>
      <c r="I20" s="129">
        <f t="shared" si="2"/>
        <v>38</v>
      </c>
      <c r="J20" s="129">
        <f t="shared" si="2"/>
        <v>42</v>
      </c>
      <c r="K20" s="129">
        <f t="shared" si="2"/>
        <v>42</v>
      </c>
      <c r="L20" s="129">
        <f t="shared" si="2"/>
        <v>90</v>
      </c>
    </row>
    <row r="21" spans="1:12" x14ac:dyDescent="0.25">
      <c r="A21" s="4">
        <v>1</v>
      </c>
      <c r="B21" s="11" t="s">
        <v>44</v>
      </c>
      <c r="C21" s="11" t="s">
        <v>45</v>
      </c>
      <c r="D21" s="11" t="s">
        <v>94</v>
      </c>
      <c r="E21" s="130">
        <v>17</v>
      </c>
      <c r="F21" s="130">
        <v>15</v>
      </c>
      <c r="G21" s="130">
        <v>13</v>
      </c>
      <c r="H21" s="130">
        <v>42</v>
      </c>
      <c r="I21" s="130">
        <v>36</v>
      </c>
      <c r="J21" s="130">
        <v>45</v>
      </c>
      <c r="K21" s="130">
        <v>45</v>
      </c>
      <c r="L21" s="130">
        <v>32</v>
      </c>
    </row>
    <row r="22" spans="1:12" hidden="1" x14ac:dyDescent="0.25">
      <c r="A22" s="4">
        <v>2</v>
      </c>
      <c r="B22" s="11" t="s">
        <v>46</v>
      </c>
      <c r="C22" s="11" t="s">
        <v>45</v>
      </c>
      <c r="D22" s="11" t="s">
        <v>47</v>
      </c>
      <c r="E22" s="130">
        <v>14</v>
      </c>
      <c r="F22" s="130">
        <v>12</v>
      </c>
      <c r="G22" s="130">
        <v>12</v>
      </c>
      <c r="H22" s="130">
        <v>6</v>
      </c>
      <c r="I22" s="130">
        <v>2</v>
      </c>
      <c r="J22" s="130">
        <v>0</v>
      </c>
      <c r="K22" s="130">
        <v>0</v>
      </c>
      <c r="L22" s="130"/>
    </row>
    <row r="23" spans="1:12" x14ac:dyDescent="0.25">
      <c r="A23" s="4">
        <v>2</v>
      </c>
      <c r="B23" s="11" t="s">
        <v>48</v>
      </c>
      <c r="C23" s="11" t="s">
        <v>49</v>
      </c>
      <c r="D23" s="11" t="s">
        <v>50</v>
      </c>
      <c r="E23" s="133">
        <v>12</v>
      </c>
      <c r="F23" s="133">
        <v>19</v>
      </c>
      <c r="G23" s="130">
        <v>16</v>
      </c>
      <c r="H23" s="130">
        <v>8</v>
      </c>
      <c r="I23" s="130">
        <v>17</v>
      </c>
      <c r="J23" s="130">
        <v>13</v>
      </c>
      <c r="K23" s="130">
        <v>13</v>
      </c>
      <c r="L23" s="130">
        <v>6</v>
      </c>
    </row>
    <row r="24" spans="1:12" x14ac:dyDescent="0.25">
      <c r="A24" s="4">
        <v>3</v>
      </c>
      <c r="B24" s="11" t="s">
        <v>51</v>
      </c>
      <c r="C24" s="11" t="s">
        <v>52</v>
      </c>
      <c r="D24" s="11" t="s">
        <v>53</v>
      </c>
      <c r="E24" s="130">
        <v>9</v>
      </c>
      <c r="F24" s="130">
        <v>7</v>
      </c>
      <c r="G24" s="130">
        <v>5</v>
      </c>
      <c r="H24" s="130">
        <v>8</v>
      </c>
      <c r="I24" s="130">
        <v>8</v>
      </c>
      <c r="J24" s="130">
        <v>6</v>
      </c>
      <c r="K24" s="130">
        <v>6</v>
      </c>
      <c r="L24" s="130">
        <v>9</v>
      </c>
    </row>
    <row r="25" spans="1:12" x14ac:dyDescent="0.25">
      <c r="A25" s="4">
        <v>4</v>
      </c>
      <c r="B25" s="11" t="s">
        <v>54</v>
      </c>
      <c r="C25" s="11" t="s">
        <v>55</v>
      </c>
      <c r="D25" s="11" t="s">
        <v>56</v>
      </c>
      <c r="E25" s="130">
        <v>8</v>
      </c>
      <c r="F25" s="130">
        <v>4</v>
      </c>
      <c r="G25" s="130">
        <v>6</v>
      </c>
      <c r="H25" s="130">
        <v>14</v>
      </c>
      <c r="I25" s="130">
        <v>8</v>
      </c>
      <c r="J25" s="130">
        <v>6</v>
      </c>
      <c r="K25" s="130">
        <v>6</v>
      </c>
      <c r="L25" s="130">
        <v>23</v>
      </c>
    </row>
    <row r="26" spans="1:12" x14ac:dyDescent="0.25">
      <c r="A26" s="4">
        <v>5</v>
      </c>
      <c r="B26" s="11" t="s">
        <v>57</v>
      </c>
      <c r="C26" s="11" t="s">
        <v>45</v>
      </c>
      <c r="D26" s="11" t="s">
        <v>58</v>
      </c>
      <c r="E26" s="133">
        <v>13</v>
      </c>
      <c r="F26" s="133">
        <v>17</v>
      </c>
      <c r="G26" s="130">
        <v>18</v>
      </c>
      <c r="H26" s="130">
        <v>14</v>
      </c>
      <c r="I26" s="130">
        <v>16</v>
      </c>
      <c r="J26" s="130">
        <v>12</v>
      </c>
      <c r="K26" s="130">
        <v>12</v>
      </c>
      <c r="L26" s="130">
        <v>9</v>
      </c>
    </row>
    <row r="27" spans="1:12" x14ac:dyDescent="0.25">
      <c r="A27" s="4">
        <v>6</v>
      </c>
      <c r="B27" s="11" t="s">
        <v>59</v>
      </c>
      <c r="C27" s="11" t="s">
        <v>45</v>
      </c>
      <c r="D27" s="11" t="s">
        <v>60</v>
      </c>
      <c r="E27" s="133">
        <v>10</v>
      </c>
      <c r="F27" s="133">
        <v>5</v>
      </c>
      <c r="G27" s="130">
        <v>6</v>
      </c>
      <c r="H27" s="130">
        <v>14</v>
      </c>
      <c r="I27" s="130">
        <v>7</v>
      </c>
      <c r="J27" s="130">
        <v>11</v>
      </c>
      <c r="K27" s="130">
        <v>11</v>
      </c>
      <c r="L27" s="130">
        <v>15</v>
      </c>
    </row>
    <row r="28" spans="1:12" x14ac:dyDescent="0.25">
      <c r="A28" s="4">
        <v>7</v>
      </c>
      <c r="B28" s="11" t="s">
        <v>24</v>
      </c>
      <c r="C28" s="11" t="s">
        <v>61</v>
      </c>
      <c r="D28" s="11" t="s">
        <v>62</v>
      </c>
      <c r="E28" s="133">
        <v>6</v>
      </c>
      <c r="F28" s="133">
        <v>5</v>
      </c>
      <c r="G28" s="130">
        <v>3</v>
      </c>
      <c r="H28" s="130">
        <v>11</v>
      </c>
      <c r="I28" s="130">
        <v>9</v>
      </c>
      <c r="J28" s="130">
        <v>5</v>
      </c>
      <c r="K28" s="130">
        <v>5</v>
      </c>
      <c r="L28" s="130">
        <v>8</v>
      </c>
    </row>
    <row r="29" spans="1:12" x14ac:dyDescent="0.25">
      <c r="A29" s="4">
        <v>8</v>
      </c>
      <c r="B29" s="11" t="s">
        <v>63</v>
      </c>
      <c r="C29" s="11" t="s">
        <v>64</v>
      </c>
      <c r="D29" s="11" t="s">
        <v>65</v>
      </c>
      <c r="E29" s="133">
        <v>8</v>
      </c>
      <c r="F29" s="133">
        <v>9</v>
      </c>
      <c r="G29" s="130">
        <v>6</v>
      </c>
      <c r="H29" s="130">
        <v>1</v>
      </c>
      <c r="I29" s="130">
        <v>4</v>
      </c>
      <c r="J29" s="130">
        <v>6</v>
      </c>
      <c r="K29" s="130">
        <v>6</v>
      </c>
      <c r="L29" s="130">
        <v>6</v>
      </c>
    </row>
    <row r="30" spans="1:12" x14ac:dyDescent="0.25">
      <c r="A30" s="4">
        <v>9</v>
      </c>
      <c r="B30" s="11" t="s">
        <v>66</v>
      </c>
      <c r="C30" s="11" t="s">
        <v>45</v>
      </c>
      <c r="D30" s="11" t="s">
        <v>67</v>
      </c>
      <c r="E30" s="133">
        <v>4</v>
      </c>
      <c r="F30" s="133">
        <v>5</v>
      </c>
      <c r="G30" s="130">
        <v>4</v>
      </c>
      <c r="H30" s="130">
        <v>4</v>
      </c>
      <c r="I30" s="130">
        <v>0</v>
      </c>
      <c r="J30" s="130">
        <v>1</v>
      </c>
      <c r="K30" s="130">
        <v>1</v>
      </c>
      <c r="L30" s="130">
        <v>8</v>
      </c>
    </row>
    <row r="31" spans="1:12" x14ac:dyDescent="0.25">
      <c r="A31" s="4">
        <v>10</v>
      </c>
      <c r="B31" s="11" t="s">
        <v>68</v>
      </c>
      <c r="C31" s="11" t="s">
        <v>45</v>
      </c>
      <c r="D31" s="11" t="s">
        <v>69</v>
      </c>
      <c r="E31" s="133">
        <v>6</v>
      </c>
      <c r="F31" s="133">
        <v>7</v>
      </c>
      <c r="G31" s="130">
        <v>8</v>
      </c>
      <c r="H31" s="130">
        <v>25</v>
      </c>
      <c r="I31" s="130">
        <v>12</v>
      </c>
      <c r="J31" s="130">
        <v>7</v>
      </c>
      <c r="K31" s="130">
        <v>7</v>
      </c>
      <c r="L31" s="130">
        <v>9</v>
      </c>
    </row>
    <row r="32" spans="1:12" x14ac:dyDescent="0.25">
      <c r="A32" s="4">
        <v>11</v>
      </c>
      <c r="B32" s="11" t="s">
        <v>70</v>
      </c>
      <c r="C32" s="11" t="s">
        <v>45</v>
      </c>
      <c r="D32" s="11" t="s">
        <v>71</v>
      </c>
      <c r="E32" s="133">
        <v>12</v>
      </c>
      <c r="F32" s="133">
        <v>5</v>
      </c>
      <c r="G32" s="130">
        <v>9</v>
      </c>
      <c r="H32" s="130">
        <v>8</v>
      </c>
      <c r="I32" s="130">
        <v>6</v>
      </c>
      <c r="J32" s="130">
        <v>11</v>
      </c>
      <c r="K32" s="130">
        <v>11</v>
      </c>
      <c r="L32" s="130">
        <v>19</v>
      </c>
    </row>
    <row r="33" spans="1:12" x14ac:dyDescent="0.25">
      <c r="A33" s="4">
        <v>12</v>
      </c>
      <c r="B33" s="11" t="s">
        <v>72</v>
      </c>
      <c r="C33" s="11" t="s">
        <v>73</v>
      </c>
      <c r="D33" s="11" t="s">
        <v>74</v>
      </c>
      <c r="E33" s="133">
        <v>6</v>
      </c>
      <c r="F33" s="133">
        <v>2</v>
      </c>
      <c r="G33" s="130">
        <v>5</v>
      </c>
      <c r="H33" s="130">
        <v>6</v>
      </c>
      <c r="I33" s="130">
        <v>6</v>
      </c>
      <c r="J33" s="130">
        <v>2</v>
      </c>
      <c r="K33" s="130">
        <v>2</v>
      </c>
      <c r="L33" s="130">
        <v>0</v>
      </c>
    </row>
    <row r="34" spans="1:12" x14ac:dyDescent="0.25">
      <c r="A34" s="4">
        <v>13</v>
      </c>
      <c r="B34" s="11" t="s">
        <v>75</v>
      </c>
      <c r="C34" s="11" t="s">
        <v>45</v>
      </c>
      <c r="D34" s="11" t="s">
        <v>76</v>
      </c>
      <c r="E34" s="133">
        <v>18</v>
      </c>
      <c r="F34" s="133">
        <v>10</v>
      </c>
      <c r="G34" s="130">
        <v>8</v>
      </c>
      <c r="H34" s="130">
        <v>10</v>
      </c>
      <c r="I34" s="130">
        <v>12</v>
      </c>
      <c r="J34" s="130">
        <v>7</v>
      </c>
      <c r="K34" s="130">
        <v>7</v>
      </c>
      <c r="L34" s="130">
        <v>11</v>
      </c>
    </row>
    <row r="35" spans="1:12" x14ac:dyDescent="0.25">
      <c r="A35" s="4">
        <v>14</v>
      </c>
      <c r="B35" s="11" t="s">
        <v>77</v>
      </c>
      <c r="C35" s="11" t="s">
        <v>78</v>
      </c>
      <c r="D35" s="14" t="s">
        <v>79</v>
      </c>
      <c r="E35" s="133">
        <v>5</v>
      </c>
      <c r="F35" s="133">
        <v>5</v>
      </c>
      <c r="G35" s="130">
        <v>9</v>
      </c>
      <c r="H35" s="130">
        <v>26</v>
      </c>
      <c r="I35" s="130">
        <v>14</v>
      </c>
      <c r="J35" s="130">
        <v>13</v>
      </c>
      <c r="K35" s="130">
        <v>13</v>
      </c>
      <c r="L35" s="130">
        <v>7</v>
      </c>
    </row>
    <row r="36" spans="1:12" x14ac:dyDescent="0.25">
      <c r="A36" s="4">
        <v>15</v>
      </c>
      <c r="B36" s="11" t="s">
        <v>80</v>
      </c>
      <c r="C36" s="11" t="s">
        <v>49</v>
      </c>
      <c r="D36" s="14" t="s">
        <v>81</v>
      </c>
      <c r="E36" s="133">
        <v>9</v>
      </c>
      <c r="F36" s="133">
        <v>4</v>
      </c>
      <c r="G36" s="130">
        <v>7</v>
      </c>
      <c r="H36" s="130">
        <v>5</v>
      </c>
      <c r="I36" s="130">
        <v>3</v>
      </c>
      <c r="J36" s="130">
        <v>6</v>
      </c>
      <c r="K36" s="130">
        <v>6</v>
      </c>
      <c r="L36" s="130">
        <v>6</v>
      </c>
    </row>
    <row r="37" spans="1:12" x14ac:dyDescent="0.25">
      <c r="A37" s="4">
        <v>16</v>
      </c>
      <c r="B37" s="11" t="s">
        <v>82</v>
      </c>
      <c r="C37" s="11" t="s">
        <v>83</v>
      </c>
      <c r="D37" s="15" t="s">
        <v>84</v>
      </c>
      <c r="E37" s="133">
        <v>3</v>
      </c>
      <c r="F37" s="133">
        <v>3</v>
      </c>
      <c r="G37" s="130">
        <v>2</v>
      </c>
      <c r="H37" s="130">
        <v>2</v>
      </c>
      <c r="I37" s="130">
        <v>1</v>
      </c>
      <c r="J37" s="130">
        <v>2</v>
      </c>
      <c r="K37" s="130">
        <v>2</v>
      </c>
      <c r="L37" s="130">
        <v>1</v>
      </c>
    </row>
    <row r="38" spans="1:12" x14ac:dyDescent="0.25">
      <c r="A38" s="4">
        <v>17</v>
      </c>
      <c r="B38" s="18" t="s">
        <v>85</v>
      </c>
      <c r="C38" s="18" t="s">
        <v>45</v>
      </c>
      <c r="D38" s="15" t="s">
        <v>86</v>
      </c>
      <c r="E38" s="133">
        <v>4</v>
      </c>
      <c r="F38" s="133">
        <v>5</v>
      </c>
      <c r="G38" s="130">
        <v>6</v>
      </c>
      <c r="H38" s="130">
        <v>8</v>
      </c>
      <c r="I38" s="130">
        <v>4</v>
      </c>
      <c r="J38" s="130">
        <v>4</v>
      </c>
      <c r="K38" s="130">
        <v>4</v>
      </c>
      <c r="L38" s="130">
        <v>3</v>
      </c>
    </row>
    <row r="39" spans="1:12" x14ac:dyDescent="0.25">
      <c r="A39" s="4">
        <v>18</v>
      </c>
      <c r="B39" s="11" t="s">
        <v>87</v>
      </c>
      <c r="C39" s="11" t="s">
        <v>88</v>
      </c>
      <c r="D39" s="11" t="s">
        <v>89</v>
      </c>
      <c r="E39" s="133">
        <v>3</v>
      </c>
      <c r="F39" s="133">
        <v>0</v>
      </c>
      <c r="G39" s="130">
        <v>1</v>
      </c>
      <c r="H39" s="130">
        <v>2</v>
      </c>
      <c r="I39" s="130">
        <v>2</v>
      </c>
      <c r="J39" s="130">
        <v>3</v>
      </c>
      <c r="K39" s="130">
        <v>3</v>
      </c>
      <c r="L39" s="130">
        <v>5</v>
      </c>
    </row>
    <row r="40" spans="1:12" x14ac:dyDescent="0.25">
      <c r="A40" s="4">
        <v>19</v>
      </c>
      <c r="B40" s="11" t="s">
        <v>92</v>
      </c>
      <c r="C40" s="11" t="s">
        <v>45</v>
      </c>
      <c r="D40" s="14" t="s">
        <v>91</v>
      </c>
      <c r="E40" s="133">
        <v>48</v>
      </c>
      <c r="F40" s="133">
        <v>30</v>
      </c>
      <c r="G40" s="130">
        <v>16</v>
      </c>
      <c r="H40" s="130">
        <v>24</v>
      </c>
      <c r="I40" s="130">
        <v>35</v>
      </c>
      <c r="J40" s="130">
        <v>23</v>
      </c>
      <c r="K40" s="130">
        <v>23</v>
      </c>
      <c r="L40" s="130">
        <v>29</v>
      </c>
    </row>
    <row r="41" spans="1:12" x14ac:dyDescent="0.25">
      <c r="A41" s="8"/>
      <c r="B41" s="19" t="s">
        <v>90</v>
      </c>
      <c r="C41" s="19" t="s">
        <v>20</v>
      </c>
      <c r="D41" s="3"/>
      <c r="E41" s="129">
        <f t="shared" ref="E41:K41" si="3">SUM(E21:E40)</f>
        <v>215</v>
      </c>
      <c r="F41" s="129">
        <f t="shared" si="3"/>
        <v>169</v>
      </c>
      <c r="G41" s="129">
        <f t="shared" si="3"/>
        <v>160</v>
      </c>
      <c r="H41" s="129">
        <f t="shared" si="3"/>
        <v>238</v>
      </c>
      <c r="I41" s="129">
        <f t="shared" si="3"/>
        <v>202</v>
      </c>
      <c r="J41" s="129">
        <f>SUM(J21:J40)</f>
        <v>183</v>
      </c>
      <c r="K41" s="129">
        <f t="shared" si="3"/>
        <v>183</v>
      </c>
      <c r="L41" s="129">
        <f t="shared" ref="L41" si="4">SUM(L21:L40)</f>
        <v>206</v>
      </c>
    </row>
  </sheetData>
  <mergeCells count="1">
    <mergeCell ref="A1:I1"/>
  </mergeCells>
  <conditionalFormatting sqref="D38">
    <cfRule type="duplicateValues" dxfId="13" priority="1"/>
    <cfRule type="duplicateValues" dxfId="12" priority="2"/>
  </conditionalFormatting>
  <conditionalFormatting sqref="D41 D2:D18 D39 D20:D37">
    <cfRule type="duplicateValues" dxfId="11" priority="7"/>
    <cfRule type="duplicateValues" dxfId="10" priority="8"/>
  </conditionalFormatting>
  <pageMargins left="0.7" right="0.45" top="0.5" bottom="0.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51"/>
  <sheetViews>
    <sheetView tabSelected="1" topLeftCell="A19" workbookViewId="0">
      <selection activeCell="O41" sqref="O41"/>
    </sheetView>
  </sheetViews>
  <sheetFormatPr defaultRowHeight="15" x14ac:dyDescent="0.25"/>
  <cols>
    <col min="1" max="1" width="3.28515625" customWidth="1"/>
    <col min="2" max="2" width="6" bestFit="1" customWidth="1"/>
    <col min="3" max="3" width="22.140625" bestFit="1" customWidth="1"/>
    <col min="4" max="4" width="23.28515625" customWidth="1"/>
    <col min="5" max="5" width="16.5703125" bestFit="1" customWidth="1"/>
    <col min="6" max="6" width="6.42578125" style="79" hidden="1" customWidth="1"/>
    <col min="7" max="7" width="6.28515625" style="79" hidden="1" customWidth="1"/>
    <col min="8" max="8" width="6.85546875" style="79" hidden="1" customWidth="1"/>
    <col min="9" max="9" width="6.5703125" style="79" hidden="1" customWidth="1"/>
    <col min="10" max="10" width="6.85546875" style="79" hidden="1" customWidth="1"/>
    <col min="11" max="11" width="6.5703125" style="79" bestFit="1" customWidth="1"/>
    <col min="12" max="12" width="6.140625" style="79" bestFit="1" customWidth="1"/>
    <col min="13" max="13" width="6.85546875" style="79" bestFit="1" customWidth="1"/>
  </cols>
  <sheetData>
    <row r="1" spans="2:13" ht="9.75" customHeight="1" thickBot="1" x14ac:dyDescent="0.3"/>
    <row r="2" spans="2:13" ht="16.5" thickBot="1" x14ac:dyDescent="0.3">
      <c r="B2" s="136" t="s">
        <v>0</v>
      </c>
      <c r="C2" s="137"/>
      <c r="D2" s="137"/>
      <c r="E2" s="137"/>
      <c r="F2" s="137"/>
      <c r="G2" s="137"/>
      <c r="H2" s="137"/>
      <c r="I2" s="137"/>
      <c r="J2" s="138"/>
      <c r="K2" s="87"/>
      <c r="L2" s="87"/>
      <c r="M2" s="87"/>
    </row>
    <row r="3" spans="2:13" ht="15.75" thickBot="1" x14ac:dyDescent="0.3">
      <c r="B3" s="59" t="s">
        <v>1</v>
      </c>
      <c r="C3" s="60" t="s">
        <v>2</v>
      </c>
      <c r="D3" s="59"/>
      <c r="E3" s="61" t="s">
        <v>3</v>
      </c>
      <c r="F3" s="88">
        <v>46053</v>
      </c>
      <c r="G3" s="89">
        <v>46079</v>
      </c>
      <c r="H3" s="88">
        <v>46105</v>
      </c>
      <c r="I3" s="89">
        <v>46131</v>
      </c>
      <c r="J3" s="88">
        <v>46157</v>
      </c>
      <c r="K3" s="125">
        <v>46183</v>
      </c>
      <c r="L3" s="125">
        <v>46213</v>
      </c>
      <c r="M3" s="125">
        <v>46245</v>
      </c>
    </row>
    <row r="4" spans="2:13" x14ac:dyDescent="0.25">
      <c r="B4" s="55">
        <v>1</v>
      </c>
      <c r="C4" s="56" t="s">
        <v>98</v>
      </c>
      <c r="D4" s="57" t="s">
        <v>99</v>
      </c>
      <c r="E4" s="58" t="s">
        <v>100</v>
      </c>
      <c r="F4" s="90">
        <v>32</v>
      </c>
      <c r="G4" s="91">
        <v>11</v>
      </c>
      <c r="H4" s="90">
        <v>11</v>
      </c>
      <c r="I4" s="92">
        <v>27</v>
      </c>
      <c r="J4" s="93">
        <v>30</v>
      </c>
      <c r="K4" s="82">
        <v>14</v>
      </c>
      <c r="L4" s="82">
        <v>15</v>
      </c>
      <c r="M4" s="82">
        <v>10</v>
      </c>
    </row>
    <row r="5" spans="2:13" x14ac:dyDescent="0.25">
      <c r="B5" s="29">
        <v>2</v>
      </c>
      <c r="C5" s="31" t="s">
        <v>101</v>
      </c>
      <c r="D5" s="37" t="s">
        <v>102</v>
      </c>
      <c r="E5" s="41" t="s">
        <v>103</v>
      </c>
      <c r="F5" s="94">
        <v>7</v>
      </c>
      <c r="G5" s="95">
        <v>11</v>
      </c>
      <c r="H5" s="94">
        <v>7</v>
      </c>
      <c r="I5" s="96">
        <v>9</v>
      </c>
      <c r="J5" s="97">
        <v>4</v>
      </c>
      <c r="K5" s="80">
        <v>6</v>
      </c>
      <c r="L5" s="80">
        <v>10</v>
      </c>
      <c r="M5" s="80">
        <v>5</v>
      </c>
    </row>
    <row r="6" spans="2:13" x14ac:dyDescent="0.25">
      <c r="B6" s="55">
        <v>3</v>
      </c>
      <c r="C6" s="31" t="s">
        <v>104</v>
      </c>
      <c r="D6" s="36" t="s">
        <v>99</v>
      </c>
      <c r="E6" s="41" t="s">
        <v>105</v>
      </c>
      <c r="F6" s="94">
        <v>29</v>
      </c>
      <c r="G6" s="95">
        <v>26</v>
      </c>
      <c r="H6" s="94">
        <v>16</v>
      </c>
      <c r="I6" s="96">
        <v>32</v>
      </c>
      <c r="J6" s="97">
        <v>28</v>
      </c>
      <c r="K6" s="80">
        <v>14</v>
      </c>
      <c r="L6" s="80">
        <v>17</v>
      </c>
      <c r="M6" s="128">
        <v>26</v>
      </c>
    </row>
    <row r="7" spans="2:13" x14ac:dyDescent="0.25">
      <c r="B7" s="29">
        <v>4</v>
      </c>
      <c r="C7" s="31" t="s">
        <v>106</v>
      </c>
      <c r="D7" s="37" t="s">
        <v>107</v>
      </c>
      <c r="E7" s="41" t="s">
        <v>108</v>
      </c>
      <c r="F7" s="94">
        <v>2</v>
      </c>
      <c r="G7" s="95">
        <v>6</v>
      </c>
      <c r="H7" s="94">
        <v>8</v>
      </c>
      <c r="I7" s="96">
        <v>1</v>
      </c>
      <c r="J7" s="97">
        <v>2</v>
      </c>
      <c r="K7" s="80">
        <v>2</v>
      </c>
      <c r="L7" s="80">
        <v>7</v>
      </c>
      <c r="M7" s="80">
        <v>6</v>
      </c>
    </row>
    <row r="8" spans="2:13" x14ac:dyDescent="0.25">
      <c r="B8" s="55">
        <v>5</v>
      </c>
      <c r="C8" s="31" t="s">
        <v>80</v>
      </c>
      <c r="D8" s="36" t="s">
        <v>99</v>
      </c>
      <c r="E8" s="41" t="s">
        <v>109</v>
      </c>
      <c r="F8" s="94">
        <v>4</v>
      </c>
      <c r="G8" s="95">
        <v>2</v>
      </c>
      <c r="H8" s="94">
        <v>6</v>
      </c>
      <c r="I8" s="96">
        <v>14</v>
      </c>
      <c r="J8" s="97">
        <v>12</v>
      </c>
      <c r="K8" s="80">
        <v>6</v>
      </c>
      <c r="L8" s="80">
        <v>5</v>
      </c>
      <c r="M8" s="80">
        <v>2</v>
      </c>
    </row>
    <row r="9" spans="2:13" x14ac:dyDescent="0.25">
      <c r="B9" s="29">
        <v>6</v>
      </c>
      <c r="C9" s="31" t="s">
        <v>110</v>
      </c>
      <c r="D9" s="36" t="s">
        <v>99</v>
      </c>
      <c r="E9" s="41" t="s">
        <v>111</v>
      </c>
      <c r="F9" s="94">
        <v>6</v>
      </c>
      <c r="G9" s="95">
        <v>4</v>
      </c>
      <c r="H9" s="94">
        <v>1</v>
      </c>
      <c r="I9" s="96">
        <v>7</v>
      </c>
      <c r="J9" s="97">
        <v>4</v>
      </c>
      <c r="K9" s="80">
        <v>2</v>
      </c>
      <c r="L9" s="80">
        <v>3</v>
      </c>
      <c r="M9" s="80">
        <v>2</v>
      </c>
    </row>
    <row r="10" spans="2:13" x14ac:dyDescent="0.25">
      <c r="B10" s="55">
        <v>7</v>
      </c>
      <c r="C10" s="31" t="s">
        <v>112</v>
      </c>
      <c r="D10" s="37" t="s">
        <v>113</v>
      </c>
      <c r="E10" s="41" t="s">
        <v>114</v>
      </c>
      <c r="F10" s="94">
        <v>3</v>
      </c>
      <c r="G10" s="95">
        <v>6</v>
      </c>
      <c r="H10" s="94">
        <v>2</v>
      </c>
      <c r="I10" s="96">
        <v>3</v>
      </c>
      <c r="J10" s="97">
        <v>5</v>
      </c>
      <c r="K10" s="80">
        <v>2</v>
      </c>
      <c r="L10" s="80">
        <v>3</v>
      </c>
      <c r="M10" s="80">
        <v>1</v>
      </c>
    </row>
    <row r="11" spans="2:13" x14ac:dyDescent="0.25">
      <c r="B11" s="29">
        <v>8</v>
      </c>
      <c r="C11" s="31" t="s">
        <v>115</v>
      </c>
      <c r="D11" s="36" t="s">
        <v>99</v>
      </c>
      <c r="E11" s="42" t="s">
        <v>116</v>
      </c>
      <c r="F11" s="94">
        <v>9</v>
      </c>
      <c r="G11" s="95">
        <v>8</v>
      </c>
      <c r="H11" s="94">
        <v>1</v>
      </c>
      <c r="I11" s="96">
        <v>0</v>
      </c>
      <c r="J11" s="97">
        <v>5</v>
      </c>
      <c r="K11" s="80">
        <v>6</v>
      </c>
      <c r="L11" s="80">
        <v>3</v>
      </c>
      <c r="M11" s="80">
        <v>18</v>
      </c>
    </row>
    <row r="12" spans="2:13" x14ac:dyDescent="0.25">
      <c r="B12" s="55">
        <v>9</v>
      </c>
      <c r="C12" s="32" t="s">
        <v>117</v>
      </c>
      <c r="D12" s="36" t="s">
        <v>99</v>
      </c>
      <c r="E12" s="42" t="s">
        <v>118</v>
      </c>
      <c r="F12" s="94">
        <v>7</v>
      </c>
      <c r="G12" s="95">
        <v>4</v>
      </c>
      <c r="H12" s="94">
        <v>0</v>
      </c>
      <c r="I12" s="96">
        <v>12</v>
      </c>
      <c r="J12" s="97">
        <v>0</v>
      </c>
      <c r="K12" s="80">
        <v>2</v>
      </c>
      <c r="L12" s="80">
        <v>5</v>
      </c>
      <c r="M12" s="80">
        <v>1</v>
      </c>
    </row>
    <row r="13" spans="2:13" x14ac:dyDescent="0.25">
      <c r="B13" s="29">
        <v>10</v>
      </c>
      <c r="C13" s="33" t="s">
        <v>119</v>
      </c>
      <c r="D13" s="36" t="s">
        <v>120</v>
      </c>
      <c r="E13" s="43" t="s">
        <v>121</v>
      </c>
      <c r="F13" s="94">
        <v>5</v>
      </c>
      <c r="G13" s="95">
        <v>1</v>
      </c>
      <c r="H13" s="94">
        <v>2</v>
      </c>
      <c r="I13" s="96">
        <v>2</v>
      </c>
      <c r="J13" s="97">
        <v>3</v>
      </c>
      <c r="K13" s="80">
        <v>1</v>
      </c>
      <c r="L13" s="80">
        <v>0</v>
      </c>
      <c r="M13" s="80">
        <v>3</v>
      </c>
    </row>
    <row r="14" spans="2:13" x14ac:dyDescent="0.25">
      <c r="B14" s="55">
        <v>11</v>
      </c>
      <c r="C14" s="33" t="s">
        <v>122</v>
      </c>
      <c r="D14" s="36" t="s">
        <v>123</v>
      </c>
      <c r="E14" s="44" t="s">
        <v>124</v>
      </c>
      <c r="F14" s="94">
        <v>2</v>
      </c>
      <c r="G14" s="95">
        <v>1</v>
      </c>
      <c r="H14" s="94">
        <v>3</v>
      </c>
      <c r="I14" s="96">
        <v>6</v>
      </c>
      <c r="J14" s="97">
        <v>3</v>
      </c>
      <c r="K14" s="80">
        <v>2</v>
      </c>
      <c r="L14" s="80">
        <v>0</v>
      </c>
      <c r="M14" s="80">
        <v>1</v>
      </c>
    </row>
    <row r="15" spans="2:13" x14ac:dyDescent="0.25">
      <c r="B15" s="29">
        <v>12</v>
      </c>
      <c r="C15" s="33" t="s">
        <v>189</v>
      </c>
      <c r="D15" s="36" t="s">
        <v>185</v>
      </c>
      <c r="E15" s="44" t="s">
        <v>184</v>
      </c>
      <c r="F15" s="94">
        <v>2</v>
      </c>
      <c r="G15" s="95">
        <v>1</v>
      </c>
      <c r="H15" s="94">
        <v>1</v>
      </c>
      <c r="I15" s="95">
        <v>1</v>
      </c>
      <c r="J15" s="98">
        <v>0</v>
      </c>
      <c r="K15" s="80">
        <v>0</v>
      </c>
      <c r="L15" s="80">
        <v>0</v>
      </c>
      <c r="M15" s="80">
        <v>24</v>
      </c>
    </row>
    <row r="16" spans="2:13" x14ac:dyDescent="0.25">
      <c r="B16" s="55">
        <v>13</v>
      </c>
      <c r="C16" s="33" t="s">
        <v>125</v>
      </c>
      <c r="D16" s="36" t="s">
        <v>102</v>
      </c>
      <c r="E16" s="44" t="s">
        <v>126</v>
      </c>
      <c r="F16" s="94">
        <v>4</v>
      </c>
      <c r="G16" s="95">
        <v>6</v>
      </c>
      <c r="H16" s="94">
        <v>2</v>
      </c>
      <c r="I16" s="96">
        <v>1</v>
      </c>
      <c r="J16" s="97">
        <v>2</v>
      </c>
      <c r="K16" s="80">
        <v>3</v>
      </c>
      <c r="L16" s="80">
        <v>1</v>
      </c>
      <c r="M16" s="80">
        <v>1</v>
      </c>
    </row>
    <row r="17" spans="2:13" x14ac:dyDescent="0.25">
      <c r="B17" s="29">
        <v>14</v>
      </c>
      <c r="C17" s="33" t="s">
        <v>127</v>
      </c>
      <c r="D17" s="36" t="s">
        <v>99</v>
      </c>
      <c r="E17" s="43" t="s">
        <v>128</v>
      </c>
      <c r="F17" s="94">
        <v>9</v>
      </c>
      <c r="G17" s="95">
        <v>7</v>
      </c>
      <c r="H17" s="94">
        <v>4</v>
      </c>
      <c r="I17" s="95">
        <v>7</v>
      </c>
      <c r="J17" s="98">
        <v>8</v>
      </c>
      <c r="K17" s="80">
        <v>2</v>
      </c>
      <c r="L17" s="80">
        <v>8</v>
      </c>
      <c r="M17" s="80">
        <v>3</v>
      </c>
    </row>
    <row r="18" spans="2:13" x14ac:dyDescent="0.25">
      <c r="B18" s="55">
        <v>15</v>
      </c>
      <c r="C18" s="31" t="s">
        <v>129</v>
      </c>
      <c r="D18" s="37" t="s">
        <v>130</v>
      </c>
      <c r="E18" s="41" t="s">
        <v>131</v>
      </c>
      <c r="F18" s="80">
        <v>2</v>
      </c>
      <c r="G18" s="96">
        <v>49</v>
      </c>
      <c r="H18" s="80">
        <v>111</v>
      </c>
      <c r="I18" s="96">
        <v>0</v>
      </c>
      <c r="J18" s="97">
        <v>1</v>
      </c>
      <c r="K18" s="80">
        <v>77</v>
      </c>
      <c r="L18" s="80">
        <v>2</v>
      </c>
      <c r="M18" s="80">
        <v>4</v>
      </c>
    </row>
    <row r="19" spans="2:13" x14ac:dyDescent="0.25">
      <c r="B19" s="29">
        <v>16</v>
      </c>
      <c r="C19" s="56" t="s">
        <v>188</v>
      </c>
      <c r="D19" s="41" t="s">
        <v>187</v>
      </c>
      <c r="E19" s="134" t="s">
        <v>186</v>
      </c>
      <c r="F19" s="96"/>
      <c r="G19" s="96"/>
      <c r="H19" s="96"/>
      <c r="I19" s="96"/>
      <c r="J19" s="96"/>
      <c r="K19" s="97"/>
      <c r="L19" s="80">
        <v>0</v>
      </c>
      <c r="M19" s="80">
        <v>11</v>
      </c>
    </row>
    <row r="20" spans="2:13" ht="15.75" thickBot="1" x14ac:dyDescent="0.3">
      <c r="B20" s="55">
        <v>17</v>
      </c>
      <c r="C20" s="31" t="s">
        <v>87</v>
      </c>
      <c r="D20" s="36" t="s">
        <v>99</v>
      </c>
      <c r="E20" s="41" t="s">
        <v>132</v>
      </c>
      <c r="F20" s="94">
        <v>4</v>
      </c>
      <c r="G20" s="95">
        <v>1</v>
      </c>
      <c r="H20" s="94">
        <v>3</v>
      </c>
      <c r="I20" s="96">
        <v>3</v>
      </c>
      <c r="J20" s="97">
        <v>1</v>
      </c>
      <c r="K20" s="80">
        <v>2</v>
      </c>
      <c r="L20" s="80">
        <v>3</v>
      </c>
      <c r="M20" s="80">
        <v>1</v>
      </c>
    </row>
    <row r="21" spans="2:13" ht="15.75" thickBot="1" x14ac:dyDescent="0.3">
      <c r="B21" s="51"/>
      <c r="C21" s="52" t="s">
        <v>134</v>
      </c>
      <c r="D21" s="53" t="s">
        <v>20</v>
      </c>
      <c r="E21" s="54"/>
      <c r="F21" s="103">
        <f>SUM(F4:F20)</f>
        <v>127</v>
      </c>
      <c r="G21" s="104">
        <f>SUM(G4:G20)</f>
        <v>144</v>
      </c>
      <c r="H21" s="85">
        <f>SUM(H4:H20)</f>
        <v>178</v>
      </c>
      <c r="I21" s="104">
        <f ca="1">SUM(I4:I38)</f>
        <v>142</v>
      </c>
      <c r="J21" s="105">
        <f ca="1">SUM(J4:J38)</f>
        <v>115</v>
      </c>
      <c r="K21" s="85">
        <f ca="1">SUM(K4:K38)</f>
        <v>142</v>
      </c>
      <c r="L21" s="85">
        <f ca="1">SUM(L4:L38)</f>
        <v>85</v>
      </c>
      <c r="M21" s="85">
        <f>SUM(M4:M20)</f>
        <v>119</v>
      </c>
    </row>
    <row r="22" spans="2:13" x14ac:dyDescent="0.25">
      <c r="B22" s="47">
        <v>1</v>
      </c>
      <c r="C22" s="48" t="s">
        <v>135</v>
      </c>
      <c r="D22" s="49" t="s">
        <v>136</v>
      </c>
      <c r="E22" s="50" t="s">
        <v>137</v>
      </c>
      <c r="F22" s="90">
        <v>160</v>
      </c>
      <c r="G22" s="92">
        <v>164</v>
      </c>
      <c r="H22" s="86">
        <v>178</v>
      </c>
      <c r="I22" s="92">
        <v>120</v>
      </c>
      <c r="J22" s="93">
        <v>95</v>
      </c>
      <c r="K22" s="86">
        <v>82</v>
      </c>
      <c r="L22" s="86">
        <v>113</v>
      </c>
      <c r="M22" s="86">
        <v>85</v>
      </c>
    </row>
    <row r="23" spans="2:13" hidden="1" x14ac:dyDescent="0.25">
      <c r="B23" s="30">
        <v>2</v>
      </c>
      <c r="C23" s="35" t="s">
        <v>138</v>
      </c>
      <c r="D23" s="39" t="s">
        <v>180</v>
      </c>
      <c r="E23" s="43" t="s">
        <v>139</v>
      </c>
      <c r="F23" s="94">
        <v>22</v>
      </c>
      <c r="G23" s="96">
        <v>23</v>
      </c>
      <c r="H23" s="80">
        <v>21</v>
      </c>
      <c r="I23" s="96">
        <v>8</v>
      </c>
      <c r="J23" s="97">
        <v>1</v>
      </c>
      <c r="K23" s="81">
        <v>0</v>
      </c>
      <c r="L23" s="81">
        <v>0</v>
      </c>
      <c r="M23" s="81"/>
    </row>
    <row r="24" spans="2:13" x14ac:dyDescent="0.25">
      <c r="B24" s="47">
        <v>2</v>
      </c>
      <c r="C24" s="35" t="s">
        <v>135</v>
      </c>
      <c r="D24" s="39" t="s">
        <v>136</v>
      </c>
      <c r="E24" s="43" t="s">
        <v>140</v>
      </c>
      <c r="F24" s="94">
        <v>0</v>
      </c>
      <c r="G24" s="96">
        <v>2</v>
      </c>
      <c r="H24" s="94">
        <v>5</v>
      </c>
      <c r="I24" s="96">
        <v>9</v>
      </c>
      <c r="J24" s="97">
        <v>38</v>
      </c>
      <c r="K24" s="80">
        <v>109</v>
      </c>
      <c r="L24" s="80">
        <v>104</v>
      </c>
      <c r="M24" s="80">
        <v>72</v>
      </c>
    </row>
    <row r="25" spans="2:13" hidden="1" x14ac:dyDescent="0.25">
      <c r="B25" s="30">
        <v>4</v>
      </c>
      <c r="C25" s="35" t="s">
        <v>135</v>
      </c>
      <c r="D25" s="39" t="s">
        <v>136</v>
      </c>
      <c r="E25" s="43" t="s">
        <v>141</v>
      </c>
      <c r="F25" s="94">
        <v>0</v>
      </c>
      <c r="G25" s="96">
        <v>0</v>
      </c>
      <c r="H25" s="94">
        <v>75</v>
      </c>
      <c r="I25" s="96">
        <v>71</v>
      </c>
      <c r="J25" s="97">
        <v>12</v>
      </c>
      <c r="K25" s="80">
        <v>17</v>
      </c>
      <c r="L25" s="80">
        <v>1</v>
      </c>
      <c r="M25" s="80"/>
    </row>
    <row r="26" spans="2:13" hidden="1" x14ac:dyDescent="0.25">
      <c r="B26" s="47">
        <v>5</v>
      </c>
      <c r="C26" s="35" t="s">
        <v>135</v>
      </c>
      <c r="D26" s="39" t="s">
        <v>136</v>
      </c>
      <c r="E26" s="43" t="s">
        <v>170</v>
      </c>
      <c r="F26" s="94">
        <v>0</v>
      </c>
      <c r="G26" s="96">
        <v>0</v>
      </c>
      <c r="H26" s="94">
        <v>0</v>
      </c>
      <c r="I26" s="96">
        <v>0</v>
      </c>
      <c r="J26" s="97">
        <v>2</v>
      </c>
      <c r="K26" s="81">
        <v>0</v>
      </c>
      <c r="L26" s="81">
        <v>0</v>
      </c>
      <c r="M26" s="81"/>
    </row>
    <row r="27" spans="2:13" ht="15.75" thickBot="1" x14ac:dyDescent="0.3">
      <c r="B27" s="30">
        <v>4</v>
      </c>
      <c r="C27" s="35" t="s">
        <v>173</v>
      </c>
      <c r="D27" s="39" t="s">
        <v>136</v>
      </c>
      <c r="E27" s="45" t="s">
        <v>172</v>
      </c>
      <c r="F27" s="94">
        <v>0</v>
      </c>
      <c r="G27" s="96">
        <v>0</v>
      </c>
      <c r="H27" s="80">
        <v>0</v>
      </c>
      <c r="I27" s="95">
        <v>0</v>
      </c>
      <c r="J27" s="98">
        <v>16</v>
      </c>
      <c r="K27" s="80">
        <v>4</v>
      </c>
      <c r="L27" s="80">
        <v>1</v>
      </c>
      <c r="M27" s="80">
        <v>0</v>
      </c>
    </row>
    <row r="28" spans="2:13" ht="15.75" hidden="1" thickBot="1" x14ac:dyDescent="0.3">
      <c r="B28" s="47">
        <v>7</v>
      </c>
      <c r="C28" s="62" t="s">
        <v>135</v>
      </c>
      <c r="D28" s="63" t="s">
        <v>136</v>
      </c>
      <c r="E28" s="46" t="s">
        <v>143</v>
      </c>
      <c r="F28" s="99">
        <v>36</v>
      </c>
      <c r="G28" s="101">
        <v>10</v>
      </c>
      <c r="H28" s="83">
        <v>0</v>
      </c>
      <c r="I28" s="101">
        <v>11</v>
      </c>
      <c r="J28" s="102">
        <v>12</v>
      </c>
      <c r="K28" s="83">
        <v>1</v>
      </c>
      <c r="L28" s="83">
        <v>0</v>
      </c>
      <c r="M28" s="83">
        <v>1</v>
      </c>
    </row>
    <row r="29" spans="2:13" ht="15.75" thickBot="1" x14ac:dyDescent="0.3">
      <c r="B29" s="66"/>
      <c r="C29" s="67" t="s">
        <v>144</v>
      </c>
      <c r="D29" s="68"/>
      <c r="E29" s="69"/>
      <c r="F29" s="103">
        <f t="shared" ref="F29:K29" si="0">SUM(F22:F28)</f>
        <v>218</v>
      </c>
      <c r="G29" s="104">
        <f t="shared" si="0"/>
        <v>199</v>
      </c>
      <c r="H29" s="85">
        <f t="shared" si="0"/>
        <v>279</v>
      </c>
      <c r="I29" s="104">
        <f t="shared" si="0"/>
        <v>219</v>
      </c>
      <c r="J29" s="105">
        <f t="shared" si="0"/>
        <v>176</v>
      </c>
      <c r="K29" s="85">
        <f t="shared" si="0"/>
        <v>213</v>
      </c>
      <c r="L29" s="85">
        <f t="shared" ref="L29" si="1">SUM(L22:L28)</f>
        <v>219</v>
      </c>
      <c r="M29" s="85">
        <f>SUM(M22:M28)</f>
        <v>158</v>
      </c>
    </row>
    <row r="30" spans="2:13" x14ac:dyDescent="0.25">
      <c r="B30" s="55">
        <v>1</v>
      </c>
      <c r="C30" s="64" t="s">
        <v>145</v>
      </c>
      <c r="D30" s="57" t="s">
        <v>99</v>
      </c>
      <c r="E30" s="65" t="s">
        <v>146</v>
      </c>
      <c r="F30" s="90">
        <v>55</v>
      </c>
      <c r="G30" s="91">
        <v>60</v>
      </c>
      <c r="H30" s="86">
        <v>35</v>
      </c>
      <c r="I30" s="92">
        <v>105</v>
      </c>
      <c r="J30" s="93">
        <v>96</v>
      </c>
      <c r="K30" s="86">
        <v>87</v>
      </c>
      <c r="L30" s="86">
        <v>68</v>
      </c>
      <c r="M30" s="86">
        <v>80</v>
      </c>
    </row>
    <row r="31" spans="2:13" x14ac:dyDescent="0.25">
      <c r="B31" s="29">
        <v>2</v>
      </c>
      <c r="C31" s="31" t="s">
        <v>147</v>
      </c>
      <c r="D31" s="36" t="s">
        <v>99</v>
      </c>
      <c r="E31" s="41" t="s">
        <v>148</v>
      </c>
      <c r="F31" s="94">
        <v>57</v>
      </c>
      <c r="G31" s="95">
        <v>93</v>
      </c>
      <c r="H31" s="80">
        <v>106</v>
      </c>
      <c r="I31" s="96">
        <v>85</v>
      </c>
      <c r="J31" s="97">
        <v>111</v>
      </c>
      <c r="K31" s="80">
        <v>115</v>
      </c>
      <c r="L31" s="80">
        <v>96</v>
      </c>
      <c r="M31" s="80">
        <v>116</v>
      </c>
    </row>
    <row r="32" spans="2:13" x14ac:dyDescent="0.25">
      <c r="B32" s="55">
        <v>3</v>
      </c>
      <c r="C32" s="31" t="s">
        <v>149</v>
      </c>
      <c r="D32" s="39" t="s">
        <v>150</v>
      </c>
      <c r="E32" s="42" t="s">
        <v>151</v>
      </c>
      <c r="F32" s="94">
        <v>127</v>
      </c>
      <c r="G32" s="96">
        <v>79</v>
      </c>
      <c r="H32" s="80">
        <v>57</v>
      </c>
      <c r="I32" s="96">
        <v>104</v>
      </c>
      <c r="J32" s="97">
        <v>123</v>
      </c>
      <c r="K32" s="80">
        <v>124</v>
      </c>
      <c r="L32" s="80">
        <v>91</v>
      </c>
      <c r="M32" s="80">
        <v>103</v>
      </c>
    </row>
    <row r="33" spans="2:13" x14ac:dyDescent="0.25">
      <c r="B33" s="29">
        <v>4</v>
      </c>
      <c r="C33" s="31" t="s">
        <v>152</v>
      </c>
      <c r="D33" s="39" t="s">
        <v>99</v>
      </c>
      <c r="E33" s="42" t="s">
        <v>153</v>
      </c>
      <c r="F33" s="94">
        <v>49</v>
      </c>
      <c r="G33" s="96">
        <v>35</v>
      </c>
      <c r="H33" s="80">
        <v>45</v>
      </c>
      <c r="I33" s="96">
        <v>26</v>
      </c>
      <c r="J33" s="97">
        <v>35</v>
      </c>
      <c r="K33" s="80">
        <v>9</v>
      </c>
      <c r="L33" s="80">
        <v>19</v>
      </c>
      <c r="M33" s="80">
        <v>34</v>
      </c>
    </row>
    <row r="34" spans="2:13" x14ac:dyDescent="0.25">
      <c r="B34" s="55">
        <v>5</v>
      </c>
      <c r="C34" s="33" t="s">
        <v>154</v>
      </c>
      <c r="D34" s="36" t="s">
        <v>28</v>
      </c>
      <c r="E34" s="42" t="s">
        <v>155</v>
      </c>
      <c r="F34" s="94">
        <v>109</v>
      </c>
      <c r="G34" s="96">
        <v>1</v>
      </c>
      <c r="H34" s="80">
        <v>7</v>
      </c>
      <c r="I34" s="96">
        <v>150</v>
      </c>
      <c r="J34" s="97">
        <v>1</v>
      </c>
      <c r="K34" s="80">
        <v>225</v>
      </c>
      <c r="L34" s="80">
        <v>217</v>
      </c>
      <c r="M34" s="80">
        <v>166</v>
      </c>
    </row>
    <row r="35" spans="2:13" x14ac:dyDescent="0.25">
      <c r="B35" s="29">
        <v>6</v>
      </c>
      <c r="C35" s="32" t="s">
        <v>175</v>
      </c>
      <c r="D35" s="40" t="s">
        <v>28</v>
      </c>
      <c r="E35" s="42" t="s">
        <v>156</v>
      </c>
      <c r="F35" s="94">
        <v>0</v>
      </c>
      <c r="G35" s="95">
        <v>0</v>
      </c>
      <c r="H35" s="94">
        <v>0</v>
      </c>
      <c r="I35" s="95">
        <v>0</v>
      </c>
      <c r="J35" s="98">
        <v>0</v>
      </c>
      <c r="K35" s="80">
        <v>37</v>
      </c>
      <c r="L35" s="80">
        <v>16</v>
      </c>
      <c r="M35" s="80">
        <v>8</v>
      </c>
    </row>
    <row r="36" spans="2:13" x14ac:dyDescent="0.25">
      <c r="B36" s="55">
        <v>7</v>
      </c>
      <c r="C36" s="32" t="s">
        <v>176</v>
      </c>
      <c r="D36" s="40" t="s">
        <v>177</v>
      </c>
      <c r="E36" s="42" t="s">
        <v>142</v>
      </c>
      <c r="F36" s="94">
        <v>0</v>
      </c>
      <c r="G36" s="95">
        <v>0</v>
      </c>
      <c r="H36" s="94">
        <v>0</v>
      </c>
      <c r="I36" s="95">
        <v>0</v>
      </c>
      <c r="J36" s="98">
        <v>0</v>
      </c>
      <c r="K36" s="80">
        <v>37</v>
      </c>
      <c r="L36" s="80">
        <v>290</v>
      </c>
      <c r="M36" s="80">
        <v>268</v>
      </c>
    </row>
    <row r="37" spans="2:13" x14ac:dyDescent="0.25">
      <c r="B37" s="29">
        <v>8</v>
      </c>
      <c r="C37" s="31" t="s">
        <v>157</v>
      </c>
      <c r="D37" s="39" t="s">
        <v>150</v>
      </c>
      <c r="E37" s="42" t="s">
        <v>158</v>
      </c>
      <c r="F37" s="94">
        <v>63</v>
      </c>
      <c r="G37" s="96">
        <v>40</v>
      </c>
      <c r="H37" s="80">
        <v>44</v>
      </c>
      <c r="I37" s="96">
        <v>67</v>
      </c>
      <c r="J37" s="97">
        <v>42</v>
      </c>
      <c r="K37" s="80">
        <v>47</v>
      </c>
      <c r="L37" s="80">
        <v>59</v>
      </c>
      <c r="M37" s="80">
        <v>32</v>
      </c>
    </row>
    <row r="38" spans="2:13" x14ac:dyDescent="0.25">
      <c r="B38" s="29">
        <v>20</v>
      </c>
      <c r="C38" s="34" t="s">
        <v>183</v>
      </c>
      <c r="D38" s="38" t="s">
        <v>182</v>
      </c>
      <c r="E38" s="46" t="s">
        <v>133</v>
      </c>
      <c r="F38" s="99">
        <v>2</v>
      </c>
      <c r="G38" s="100">
        <v>4</v>
      </c>
      <c r="H38" s="99">
        <v>5</v>
      </c>
      <c r="I38" s="101">
        <v>13</v>
      </c>
      <c r="J38" s="102">
        <v>7</v>
      </c>
      <c r="K38" s="83">
        <v>1</v>
      </c>
      <c r="L38" s="83">
        <v>0</v>
      </c>
      <c r="M38" s="83">
        <v>14</v>
      </c>
    </row>
    <row r="39" spans="2:13" x14ac:dyDescent="0.25">
      <c r="B39" s="30">
        <v>6</v>
      </c>
      <c r="C39" s="35" t="s">
        <v>181</v>
      </c>
      <c r="D39" s="39" t="s">
        <v>182</v>
      </c>
      <c r="E39" s="45" t="s">
        <v>172</v>
      </c>
      <c r="F39" s="94">
        <v>0</v>
      </c>
      <c r="G39" s="96">
        <v>0</v>
      </c>
      <c r="H39" s="80">
        <v>0</v>
      </c>
      <c r="I39" s="95">
        <v>0</v>
      </c>
      <c r="J39" s="98">
        <v>16</v>
      </c>
      <c r="K39" s="80">
        <v>4</v>
      </c>
      <c r="L39" s="80">
        <v>0</v>
      </c>
      <c r="M39" s="80">
        <v>28</v>
      </c>
    </row>
    <row r="40" spans="2:13" ht="15.75" thickBot="1" x14ac:dyDescent="0.3">
      <c r="B40" s="29">
        <v>10</v>
      </c>
      <c r="C40" s="70" t="s">
        <v>159</v>
      </c>
      <c r="D40" s="71" t="s">
        <v>28</v>
      </c>
      <c r="E40" s="46" t="s">
        <v>160</v>
      </c>
      <c r="F40" s="99">
        <v>43</v>
      </c>
      <c r="G40" s="101">
        <v>86</v>
      </c>
      <c r="H40" s="83">
        <v>66</v>
      </c>
      <c r="I40" s="101">
        <v>61</v>
      </c>
      <c r="J40" s="102">
        <v>9</v>
      </c>
      <c r="K40" s="83">
        <v>84</v>
      </c>
      <c r="L40" s="83">
        <v>74</v>
      </c>
      <c r="M40" s="83">
        <v>42</v>
      </c>
    </row>
    <row r="41" spans="2:13" ht="15.75" thickBot="1" x14ac:dyDescent="0.3">
      <c r="B41" s="66"/>
      <c r="C41" s="67" t="s">
        <v>179</v>
      </c>
      <c r="D41" s="68"/>
      <c r="E41" s="69"/>
      <c r="F41" s="103">
        <f t="shared" ref="F41:M41" si="2">SUM(F30:F40)</f>
        <v>505</v>
      </c>
      <c r="G41" s="104">
        <f t="shared" si="2"/>
        <v>398</v>
      </c>
      <c r="H41" s="85">
        <f t="shared" si="2"/>
        <v>365</v>
      </c>
      <c r="I41" s="104">
        <f t="shared" si="2"/>
        <v>611</v>
      </c>
      <c r="J41" s="105">
        <f t="shared" si="2"/>
        <v>440</v>
      </c>
      <c r="K41" s="85">
        <f t="shared" si="2"/>
        <v>770</v>
      </c>
      <c r="L41" s="85">
        <f t="shared" si="2"/>
        <v>930</v>
      </c>
      <c r="M41" s="85">
        <f t="shared" si="2"/>
        <v>891</v>
      </c>
    </row>
    <row r="42" spans="2:13" ht="15.75" thickBot="1" x14ac:dyDescent="0.3">
      <c r="B42" s="72">
        <v>1</v>
      </c>
      <c r="C42" s="73" t="s">
        <v>167</v>
      </c>
      <c r="D42" s="74" t="s">
        <v>168</v>
      </c>
      <c r="E42" s="75" t="s">
        <v>169</v>
      </c>
      <c r="F42" s="106">
        <v>0</v>
      </c>
      <c r="G42" s="107">
        <v>38</v>
      </c>
      <c r="H42" s="108">
        <v>3</v>
      </c>
      <c r="I42" s="107">
        <v>36</v>
      </c>
      <c r="J42" s="109">
        <v>8</v>
      </c>
      <c r="K42" s="84">
        <v>35</v>
      </c>
      <c r="L42" s="84">
        <v>1</v>
      </c>
      <c r="M42" s="84">
        <v>52</v>
      </c>
    </row>
    <row r="43" spans="2:13" ht="15.75" thickBot="1" x14ac:dyDescent="0.3"/>
    <row r="44" spans="2:13" ht="15.75" thickBot="1" x14ac:dyDescent="0.3">
      <c r="B44" s="139" t="s">
        <v>174</v>
      </c>
      <c r="C44" s="140"/>
      <c r="D44" s="140"/>
      <c r="E44" s="140"/>
      <c r="F44" s="140"/>
      <c r="G44" s="140"/>
      <c r="H44" s="140"/>
      <c r="I44" s="140"/>
      <c r="J44" s="141"/>
      <c r="K44" s="111"/>
      <c r="L44" s="111"/>
      <c r="M44" s="111"/>
    </row>
    <row r="45" spans="2:13" ht="15.75" thickBot="1" x14ac:dyDescent="0.3">
      <c r="B45" s="112">
        <v>1</v>
      </c>
      <c r="C45" s="114"/>
      <c r="D45" s="116" t="s">
        <v>161</v>
      </c>
      <c r="E45" s="123" t="s">
        <v>162</v>
      </c>
      <c r="F45" s="119">
        <v>0</v>
      </c>
      <c r="G45" s="127">
        <v>219</v>
      </c>
      <c r="H45" s="118">
        <v>67</v>
      </c>
      <c r="I45" s="119">
        <v>0</v>
      </c>
      <c r="J45" s="119">
        <v>0</v>
      </c>
      <c r="K45" s="121"/>
      <c r="L45" s="121"/>
      <c r="M45" s="121"/>
    </row>
    <row r="46" spans="2:13" ht="15.75" thickBot="1" x14ac:dyDescent="0.3">
      <c r="B46" s="112">
        <v>2</v>
      </c>
      <c r="C46" s="114"/>
      <c r="D46" s="116" t="s">
        <v>161</v>
      </c>
      <c r="E46" s="123" t="s">
        <v>163</v>
      </c>
      <c r="F46" s="119">
        <v>0</v>
      </c>
      <c r="G46" s="126">
        <v>0</v>
      </c>
      <c r="H46" s="119">
        <v>24</v>
      </c>
      <c r="I46" s="119">
        <v>49</v>
      </c>
      <c r="J46" s="119">
        <v>0</v>
      </c>
      <c r="K46" s="121"/>
      <c r="L46" s="121"/>
      <c r="M46" s="121"/>
    </row>
    <row r="47" spans="2:13" ht="15.75" thickBot="1" x14ac:dyDescent="0.3">
      <c r="B47" s="112">
        <v>3</v>
      </c>
      <c r="C47" s="114"/>
      <c r="D47" s="116" t="s">
        <v>161</v>
      </c>
      <c r="E47" s="117" t="s">
        <v>164</v>
      </c>
      <c r="F47" s="119">
        <v>0</v>
      </c>
      <c r="G47" s="126">
        <v>0</v>
      </c>
      <c r="H47" s="119">
        <v>0</v>
      </c>
      <c r="I47" s="119">
        <v>44</v>
      </c>
      <c r="J47" s="119">
        <v>0</v>
      </c>
      <c r="K47" s="121"/>
      <c r="L47" s="121"/>
      <c r="M47" s="121"/>
    </row>
    <row r="48" spans="2:13" ht="15.75" thickBot="1" x14ac:dyDescent="0.3">
      <c r="B48" s="112">
        <v>4</v>
      </c>
      <c r="C48" s="114"/>
      <c r="D48" s="116" t="s">
        <v>178</v>
      </c>
      <c r="E48" s="117" t="s">
        <v>140</v>
      </c>
      <c r="F48" s="119"/>
      <c r="G48" s="126"/>
      <c r="H48" s="119"/>
      <c r="I48" s="119"/>
      <c r="J48" s="119"/>
      <c r="K48" s="119">
        <v>71</v>
      </c>
      <c r="L48" s="119">
        <v>0</v>
      </c>
      <c r="M48" s="119"/>
    </row>
    <row r="49" spans="2:13" ht="15.75" thickBot="1" x14ac:dyDescent="0.3">
      <c r="B49" s="112">
        <v>5</v>
      </c>
      <c r="C49" s="114"/>
      <c r="D49" s="116" t="s">
        <v>178</v>
      </c>
      <c r="E49" s="122" t="s">
        <v>172</v>
      </c>
      <c r="F49" s="119"/>
      <c r="G49" s="126"/>
      <c r="H49" s="119"/>
      <c r="I49" s="119"/>
      <c r="J49" s="119"/>
      <c r="K49" s="119">
        <v>59</v>
      </c>
      <c r="L49" s="119">
        <v>17</v>
      </c>
      <c r="M49" s="119"/>
    </row>
    <row r="50" spans="2:13" ht="15.75" thickBot="1" x14ac:dyDescent="0.3">
      <c r="B50" s="112">
        <v>6</v>
      </c>
      <c r="C50" s="113"/>
      <c r="D50" s="115" t="s">
        <v>161</v>
      </c>
      <c r="E50" s="38" t="s">
        <v>165</v>
      </c>
      <c r="F50" s="118">
        <v>0</v>
      </c>
      <c r="G50" s="126">
        <v>11</v>
      </c>
      <c r="H50" s="119">
        <v>0</v>
      </c>
      <c r="I50" s="120">
        <v>34</v>
      </c>
      <c r="J50" s="118">
        <v>0</v>
      </c>
      <c r="K50" s="119"/>
      <c r="L50" s="119"/>
      <c r="M50" s="119"/>
    </row>
    <row r="51" spans="2:13" ht="15.75" thickBot="1" x14ac:dyDescent="0.3">
      <c r="B51" s="76"/>
      <c r="C51" s="77" t="s">
        <v>166</v>
      </c>
      <c r="D51" s="78"/>
      <c r="E51" s="68"/>
      <c r="F51" s="104"/>
      <c r="G51" s="85">
        <f>SUM(G45:G50)</f>
        <v>230</v>
      </c>
      <c r="H51" s="104">
        <f>SUM(H45:H50)</f>
        <v>91</v>
      </c>
      <c r="I51" s="85">
        <f>SUM(I46:I50)</f>
        <v>127</v>
      </c>
      <c r="J51" s="110">
        <f>SUM(J46:J50)</f>
        <v>0</v>
      </c>
      <c r="K51" s="124">
        <f>SUM(K48:K50)</f>
        <v>130</v>
      </c>
      <c r="L51" s="124">
        <f>SUM(L48:L50)</f>
        <v>17</v>
      </c>
      <c r="M51" s="124"/>
    </row>
  </sheetData>
  <mergeCells count="2">
    <mergeCell ref="B2:J2"/>
    <mergeCell ref="B44:J44"/>
  </mergeCells>
  <conditionalFormatting sqref="E18:E19">
    <cfRule type="duplicateValues" dxfId="9" priority="3"/>
    <cfRule type="duplicateValues" dxfId="8" priority="4"/>
  </conditionalFormatting>
  <conditionalFormatting sqref="E30:E31 E3:E16 E20:E21">
    <cfRule type="duplicateValues" dxfId="7" priority="7"/>
    <cfRule type="duplicateValues" dxfId="6" priority="8"/>
  </conditionalFormatting>
  <conditionalFormatting sqref="E17">
    <cfRule type="duplicateValues" dxfId="5" priority="9"/>
    <cfRule type="duplicateValues" dxfId="4" priority="10"/>
  </conditionalFormatting>
  <pageMargins left="0.45" right="0.45" top="0.75" bottom="0.75" header="0.3" footer="0.3"/>
  <pageSetup scale="80" orientation="portrait" horizontalDpi="0" verticalDpi="0" r:id="rId1"/>
  <ignoredErrors>
    <ignoredError sqref="F21:J21 I51:J5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12"/>
  <sheetViews>
    <sheetView workbookViewId="0">
      <selection activeCell="E17" sqref="E17"/>
    </sheetView>
  </sheetViews>
  <sheetFormatPr defaultRowHeight="15" x14ac:dyDescent="0.25"/>
  <cols>
    <col min="2" max="2" width="5.28515625" customWidth="1"/>
    <col min="3" max="3" width="16.42578125" bestFit="1" customWidth="1"/>
    <col min="4" max="4" width="24.42578125" bestFit="1" customWidth="1"/>
    <col min="5" max="5" width="13.28515625" customWidth="1"/>
    <col min="6" max="6" width="7" customWidth="1"/>
  </cols>
  <sheetData>
    <row r="2" spans="2:6" x14ac:dyDescent="0.25">
      <c r="B2" s="142" t="s">
        <v>144</v>
      </c>
      <c r="C2" s="143"/>
      <c r="D2" s="143"/>
      <c r="E2" s="143"/>
      <c r="F2" s="144"/>
    </row>
    <row r="3" spans="2:6" x14ac:dyDescent="0.25">
      <c r="B3" s="1">
        <v>1</v>
      </c>
      <c r="C3" s="14" t="s">
        <v>145</v>
      </c>
      <c r="D3" s="23" t="s">
        <v>99</v>
      </c>
      <c r="E3" s="25" t="s">
        <v>146</v>
      </c>
      <c r="F3" s="21">
        <v>96</v>
      </c>
    </row>
    <row r="4" spans="2:6" x14ac:dyDescent="0.25">
      <c r="B4" s="1">
        <v>2</v>
      </c>
      <c r="C4" s="11" t="s">
        <v>147</v>
      </c>
      <c r="D4" s="23" t="s">
        <v>99</v>
      </c>
      <c r="E4" s="24" t="s">
        <v>148</v>
      </c>
      <c r="F4" s="21">
        <v>96</v>
      </c>
    </row>
    <row r="5" spans="2:6" x14ac:dyDescent="0.25">
      <c r="B5" s="1">
        <v>3</v>
      </c>
      <c r="C5" s="11" t="s">
        <v>149</v>
      </c>
      <c r="D5" s="26" t="s">
        <v>150</v>
      </c>
      <c r="E5" s="25" t="s">
        <v>151</v>
      </c>
      <c r="F5" s="21">
        <v>123</v>
      </c>
    </row>
    <row r="6" spans="2:6" x14ac:dyDescent="0.25">
      <c r="B6" s="1">
        <v>4</v>
      </c>
      <c r="C6" s="11" t="s">
        <v>152</v>
      </c>
      <c r="D6" s="26" t="s">
        <v>99</v>
      </c>
      <c r="E6" s="25" t="s">
        <v>153</v>
      </c>
      <c r="F6" s="21">
        <v>35</v>
      </c>
    </row>
    <row r="7" spans="2:6" x14ac:dyDescent="0.25">
      <c r="B7" s="1">
        <v>5</v>
      </c>
      <c r="C7" s="18" t="s">
        <v>154</v>
      </c>
      <c r="D7" s="23" t="s">
        <v>28</v>
      </c>
      <c r="E7" s="25" t="s">
        <v>155</v>
      </c>
      <c r="F7" s="21">
        <v>1</v>
      </c>
    </row>
    <row r="8" spans="2:6" x14ac:dyDescent="0.25">
      <c r="B8" s="1">
        <v>6</v>
      </c>
      <c r="C8" s="14" t="s">
        <v>171</v>
      </c>
      <c r="D8" s="25" t="s">
        <v>45</v>
      </c>
      <c r="E8" s="25" t="s">
        <v>156</v>
      </c>
      <c r="F8" s="20">
        <v>0</v>
      </c>
    </row>
    <row r="9" spans="2:6" x14ac:dyDescent="0.25">
      <c r="B9" s="1">
        <v>7</v>
      </c>
      <c r="C9" s="11" t="s">
        <v>157</v>
      </c>
      <c r="D9" s="26" t="s">
        <v>150</v>
      </c>
      <c r="E9" s="25" t="s">
        <v>158</v>
      </c>
      <c r="F9" s="21">
        <v>42</v>
      </c>
    </row>
    <row r="10" spans="2:6" x14ac:dyDescent="0.25">
      <c r="B10" s="1">
        <v>8</v>
      </c>
      <c r="C10" s="11" t="s">
        <v>129</v>
      </c>
      <c r="D10" s="24" t="s">
        <v>130</v>
      </c>
      <c r="E10" s="24" t="s">
        <v>131</v>
      </c>
      <c r="F10" s="21">
        <v>1</v>
      </c>
    </row>
    <row r="11" spans="2:6" x14ac:dyDescent="0.25">
      <c r="B11" s="1">
        <v>9</v>
      </c>
      <c r="C11" s="18" t="s">
        <v>159</v>
      </c>
      <c r="D11" s="23" t="s">
        <v>28</v>
      </c>
      <c r="E11" s="25" t="s">
        <v>160</v>
      </c>
      <c r="F11" s="21">
        <v>9</v>
      </c>
    </row>
    <row r="12" spans="2:6" x14ac:dyDescent="0.25">
      <c r="B12" s="10"/>
      <c r="C12" s="27"/>
      <c r="D12" s="28"/>
      <c r="E12" s="28"/>
      <c r="F12" s="22">
        <f>SUM(F3:F11)</f>
        <v>403</v>
      </c>
    </row>
  </sheetData>
  <mergeCells count="1">
    <mergeCell ref="B2:F2"/>
  </mergeCells>
  <conditionalFormatting sqref="E10">
    <cfRule type="duplicateValues" dxfId="3" priority="1"/>
    <cfRule type="duplicateValues" dxfId="2" priority="2"/>
  </conditionalFormatting>
  <conditionalFormatting sqref="E3:E4">
    <cfRule type="duplicateValues" dxfId="1" priority="3"/>
    <cfRule type="duplicateValues" dxfId="0" priority="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S-D</dc:creator>
  <cp:lastModifiedBy>S-D</cp:lastModifiedBy>
  <cp:lastPrinted>2026-09-07T08:42:42Z</cp:lastPrinted>
  <dcterms:created xsi:type="dcterms:W3CDTF">2026-01-06T05:54:23Z</dcterms:created>
  <dcterms:modified xsi:type="dcterms:W3CDTF">2026-09-07T08:44:55Z</dcterms:modified>
</cp:coreProperties>
</file>