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L171" i="1"/>
  <c r="L155"/>
  <c r="C58" s="1"/>
  <c r="N58" s="1"/>
  <c r="L131"/>
  <c r="L142" s="1"/>
  <c r="C56" s="1"/>
  <c r="N56" s="1"/>
  <c r="L127"/>
  <c r="C48" s="1"/>
  <c r="N48" s="1"/>
  <c r="L122"/>
  <c r="C43" s="1"/>
  <c r="N43" s="1"/>
  <c r="L111"/>
  <c r="C49" s="1"/>
  <c r="N49" s="1"/>
  <c r="O107"/>
  <c r="M107"/>
  <c r="J107"/>
  <c r="Q106"/>
  <c r="Q105"/>
  <c r="Q104"/>
  <c r="Q103"/>
  <c r="Q102"/>
  <c r="Q101"/>
  <c r="Q100"/>
  <c r="Q99"/>
  <c r="Q98"/>
  <c r="Q97"/>
  <c r="Q96"/>
  <c r="Q95"/>
  <c r="Q94"/>
  <c r="Q93"/>
  <c r="Q92"/>
  <c r="Q91"/>
  <c r="Q90"/>
  <c r="Q89"/>
  <c r="Q88"/>
  <c r="Q87"/>
  <c r="Q86"/>
  <c r="P82"/>
  <c r="N82"/>
  <c r="L82"/>
  <c r="J82"/>
  <c r="R81"/>
  <c r="R80"/>
  <c r="R79"/>
  <c r="R78"/>
  <c r="R77"/>
  <c r="R76"/>
  <c r="R82" s="1"/>
  <c r="Q71"/>
  <c r="P71"/>
  <c r="M71"/>
  <c r="L71"/>
  <c r="K71"/>
  <c r="J71"/>
  <c r="H71"/>
  <c r="G71"/>
  <c r="F71"/>
  <c r="C71"/>
  <c r="O70"/>
  <c r="N70"/>
  <c r="R70" s="1"/>
  <c r="I70"/>
  <c r="I71" s="1"/>
  <c r="O69"/>
  <c r="N69"/>
  <c r="R69" s="1"/>
  <c r="O68"/>
  <c r="N68"/>
  <c r="R68" s="1"/>
  <c r="O67"/>
  <c r="N67"/>
  <c r="O66"/>
  <c r="N66"/>
  <c r="R66" s="1"/>
  <c r="I59"/>
  <c r="N57"/>
  <c r="N55"/>
  <c r="N54"/>
  <c r="N53"/>
  <c r="N52"/>
  <c r="N51"/>
  <c r="N50"/>
  <c r="N47"/>
  <c r="N46"/>
  <c r="N45"/>
  <c r="N44"/>
  <c r="H34"/>
  <c r="R12" s="1"/>
  <c r="S21"/>
  <c r="S8" s="1"/>
  <c r="S9" s="1"/>
  <c r="H21"/>
  <c r="T12" s="1"/>
  <c r="P10"/>
  <c r="N10"/>
  <c r="J10"/>
  <c r="T9"/>
  <c r="R9"/>
  <c r="Q9"/>
  <c r="Q10" s="1"/>
  <c r="P9"/>
  <c r="O9"/>
  <c r="O10" s="1"/>
  <c r="N9"/>
  <c r="M9"/>
  <c r="M10" s="1"/>
  <c r="L9"/>
  <c r="L10" s="1"/>
  <c r="K9"/>
  <c r="K10" s="1"/>
  <c r="J9"/>
  <c r="I9"/>
  <c r="I10" s="1"/>
  <c r="H9"/>
  <c r="H10" s="1"/>
  <c r="G9"/>
  <c r="G10" s="1"/>
  <c r="F9"/>
  <c r="F10" s="1"/>
  <c r="E9"/>
  <c r="E10" s="1"/>
  <c r="D9"/>
  <c r="D10" s="1"/>
  <c r="T10" l="1"/>
  <c r="O71"/>
  <c r="Q107"/>
  <c r="C42" s="1"/>
  <c r="N42" s="1"/>
  <c r="N71"/>
  <c r="R10"/>
  <c r="S12"/>
  <c r="S10" s="1"/>
  <c r="R67"/>
  <c r="R71" s="1"/>
  <c r="C41" s="1"/>
  <c r="C59" l="1"/>
  <c r="N41"/>
  <c r="N59" s="1"/>
</calcChain>
</file>

<file path=xl/sharedStrings.xml><?xml version="1.0" encoding="utf-8"?>
<sst xmlns="http://schemas.openxmlformats.org/spreadsheetml/2006/main" count="372" uniqueCount="228">
  <si>
    <r>
      <t xml:space="preserve">                                                           </t>
    </r>
    <r>
      <rPr>
        <b/>
        <sz val="18"/>
        <rFont val="Times New Roman"/>
        <family val="1"/>
      </rPr>
      <t xml:space="preserve">                     </t>
    </r>
    <r>
      <rPr>
        <b/>
        <sz val="20"/>
        <rFont val="Times New Roman"/>
        <family val="1"/>
      </rPr>
      <t xml:space="preserve">  ABSTRACT </t>
    </r>
    <r>
      <rPr>
        <b/>
        <sz val="18"/>
        <rFont val="Times New Roman"/>
        <family val="1"/>
      </rPr>
      <t xml:space="preserve">        </t>
    </r>
    <r>
      <rPr>
        <b/>
        <sz val="20"/>
        <rFont val="Times New Roman"/>
        <family val="1"/>
      </rPr>
      <t xml:space="preserve">                                                    </t>
    </r>
    <r>
      <rPr>
        <b/>
        <sz val="12"/>
        <rFont val="Times New Roman"/>
        <family val="1"/>
      </rPr>
      <t xml:space="preserve"> Dargai Office </t>
    </r>
  </si>
  <si>
    <t xml:space="preserve">                               </t>
  </si>
  <si>
    <t xml:space="preserve">U-Top Up &amp; Cards Amount Detail  </t>
  </si>
  <si>
    <t>S.N</t>
  </si>
  <si>
    <t xml:space="preserve">DETAIL </t>
  </si>
  <si>
    <t>B.Cards</t>
  </si>
  <si>
    <t>PPC</t>
  </si>
  <si>
    <t>M-Riaz</t>
  </si>
  <si>
    <t>Khizer</t>
  </si>
  <si>
    <t>M-Maaz</t>
  </si>
  <si>
    <t>Sabir</t>
  </si>
  <si>
    <t>U-Load</t>
  </si>
  <si>
    <t>Akhtar</t>
  </si>
  <si>
    <t>Ihsan</t>
  </si>
  <si>
    <t xml:space="preserve">Shakeel </t>
  </si>
  <si>
    <t>Haider</t>
  </si>
  <si>
    <t>BVS EVC</t>
  </si>
  <si>
    <t>Office</t>
  </si>
  <si>
    <t xml:space="preserve">UBL </t>
  </si>
  <si>
    <t>Credit</t>
  </si>
  <si>
    <t>Total</t>
  </si>
  <si>
    <t>Debit</t>
  </si>
  <si>
    <t>Rs.999</t>
  </si>
  <si>
    <t>Rs 350</t>
  </si>
  <si>
    <t>Balance</t>
  </si>
  <si>
    <t>Account</t>
  </si>
  <si>
    <t>Amount</t>
  </si>
  <si>
    <t>OPENING BALANCE -</t>
  </si>
  <si>
    <t>1-</t>
  </si>
  <si>
    <t>RECEIVED/REALISED DURING THE MONTH.</t>
  </si>
  <si>
    <t>2-</t>
  </si>
  <si>
    <t>TOTAL RECEIPT/REALISATION.</t>
  </si>
  <si>
    <t>3-</t>
  </si>
  <si>
    <t>ISSUE/PAYMENT DURING THE MONTH .</t>
  </si>
  <si>
    <t>CLOSING BALANCE -</t>
  </si>
  <si>
    <t>S/N</t>
  </si>
  <si>
    <t>Debit Details</t>
  </si>
  <si>
    <t>Received Amount in Aug 2026</t>
  </si>
  <si>
    <t>Received From Islam Badshah Sb Total Investment.</t>
  </si>
  <si>
    <t>Received From Ufone Promo Commission</t>
  </si>
  <si>
    <t>Received From Muhammad Israr kiran Loan.</t>
  </si>
  <si>
    <t>Received From U Top Up Commission.</t>
  </si>
  <si>
    <t>Received From Haris Badshah Loan</t>
  </si>
  <si>
    <t>4-</t>
  </si>
  <si>
    <t>Received From Behalf Of Shahab Badshah Loan</t>
  </si>
  <si>
    <t>Received From FMS Used Amount</t>
  </si>
  <si>
    <t>5-</t>
  </si>
  <si>
    <t>Received From Loos Sims Loan.</t>
  </si>
  <si>
    <t>Received From Shahab Cares</t>
  </si>
  <si>
    <t>6-</t>
  </si>
  <si>
    <t xml:space="preserve">Received From SIMs Cash.                                   </t>
  </si>
  <si>
    <t>Received From Loos Sim Loan</t>
  </si>
  <si>
    <t>Total :-</t>
  </si>
  <si>
    <t>Credit Details -</t>
  </si>
  <si>
    <t>Loading Target Aug 26</t>
  </si>
  <si>
    <t>Received by Ufone (UPasia loan Return)</t>
  </si>
  <si>
    <t>Loading Target</t>
  </si>
  <si>
    <t>Total Orderd</t>
  </si>
  <si>
    <t xml:space="preserve"> Achievments</t>
  </si>
  <si>
    <t>Received by Shahab FMS Credit. (April 2026)</t>
  </si>
  <si>
    <t>%</t>
  </si>
  <si>
    <t>Received by Office Mobile Purchased ( Asset of Office )</t>
  </si>
  <si>
    <t>Received by Akhtar Zaman .</t>
  </si>
  <si>
    <t>Received by Zahoor Ahmad.</t>
  </si>
  <si>
    <t>Received by Jawad DSO.</t>
  </si>
  <si>
    <t>7-</t>
  </si>
  <si>
    <t>Received by Imam Hussain.</t>
  </si>
  <si>
    <t>8-</t>
  </si>
  <si>
    <t>Received by Faraz Khan BKH.</t>
  </si>
  <si>
    <t>9-</t>
  </si>
  <si>
    <t>Received by Rizwan TKB Remaining.</t>
  </si>
  <si>
    <t>10-</t>
  </si>
  <si>
    <t>Received by Shahab Golden Number Baqya.</t>
  </si>
  <si>
    <t>Expenditure Details Aug 2026</t>
  </si>
  <si>
    <t>S/NO</t>
  </si>
  <si>
    <t>CLASSIFICATION</t>
  </si>
  <si>
    <t>CURRENT MONTH TOTAL Aug 2026</t>
  </si>
  <si>
    <t>PREVIOUS MONTHS TOTAL</t>
  </si>
  <si>
    <t>GRAND TOTAL</t>
  </si>
  <si>
    <t>Pay Of Office Staff</t>
  </si>
  <si>
    <t>Pay Of  FCA</t>
  </si>
  <si>
    <t>Communication.</t>
  </si>
  <si>
    <t>Office Rent.</t>
  </si>
  <si>
    <t xml:space="preserve">Entertainment  Office . </t>
  </si>
  <si>
    <t>LCS, TCS, Etc.</t>
  </si>
  <si>
    <t>Transport</t>
  </si>
  <si>
    <t>Stationery .</t>
  </si>
  <si>
    <t>Utility Bills.</t>
  </si>
  <si>
    <t>Paired Sims Order Ufone</t>
  </si>
  <si>
    <t>11-</t>
  </si>
  <si>
    <t>Loos Sims Order  Ufone</t>
  </si>
  <si>
    <t>12-</t>
  </si>
  <si>
    <t>Tax Adjustment</t>
  </si>
  <si>
    <t>13-</t>
  </si>
  <si>
    <t>Haris Badshah Loan Return</t>
  </si>
  <si>
    <t>14-</t>
  </si>
  <si>
    <t>Telenor SIMs Order</t>
  </si>
  <si>
    <t>15-</t>
  </si>
  <si>
    <t xml:space="preserve">Weekly Loan Return </t>
  </si>
  <si>
    <t>16-</t>
  </si>
  <si>
    <t>Pay Of Islam Badshah Sb.</t>
  </si>
  <si>
    <t>17-</t>
  </si>
  <si>
    <t>Loading FCA Aug 2026</t>
  </si>
  <si>
    <t>18-</t>
  </si>
  <si>
    <t>Others.</t>
  </si>
  <si>
    <r>
      <t>Total :</t>
    </r>
    <r>
      <rPr>
        <sz val="16"/>
        <rFont val="Times New Roman"/>
        <family val="1"/>
      </rPr>
      <t>-</t>
    </r>
  </si>
  <si>
    <t>Sales Aug 26</t>
  </si>
  <si>
    <t>RSO Salary Aug 26</t>
  </si>
  <si>
    <t>Salesman</t>
  </si>
  <si>
    <t>EVC</t>
  </si>
  <si>
    <t>U-Power   Rs 350</t>
  </si>
  <si>
    <t>S-Card       Rs 1450</t>
  </si>
  <si>
    <t xml:space="preserve">PTCL-B        RS 999 </t>
  </si>
  <si>
    <t>MBB</t>
  </si>
  <si>
    <t>Basic Salary</t>
  </si>
  <si>
    <t>Fuel   Amount</t>
  </si>
  <si>
    <t>KPI    Comm</t>
  </si>
  <si>
    <t>EVC Comm</t>
  </si>
  <si>
    <t>B-Cards Comm</t>
  </si>
  <si>
    <t>FCA Comm</t>
  </si>
  <si>
    <t>Bonus</t>
  </si>
  <si>
    <t>G -Total</t>
  </si>
  <si>
    <t>Muhammad Riaz</t>
  </si>
  <si>
    <t>Muhammad Khizer</t>
  </si>
  <si>
    <t>Muhammad Maaz</t>
  </si>
  <si>
    <t>Sabir-U-Allah</t>
  </si>
  <si>
    <t>1:-</t>
  </si>
  <si>
    <t>PAY OF OFFICE STAFF</t>
  </si>
  <si>
    <t>S-N</t>
  </si>
  <si>
    <t>Name</t>
  </si>
  <si>
    <t>Bassic Pay</t>
  </si>
  <si>
    <t>FCA Bonus</t>
  </si>
  <si>
    <t>Fuel</t>
  </si>
  <si>
    <t>Off Day Duty</t>
  </si>
  <si>
    <t>Received by Israr Badshah</t>
  </si>
  <si>
    <t xml:space="preserve">Received by Shahab Badshah. </t>
  </si>
  <si>
    <t>Received by Shakil Ahmad</t>
  </si>
  <si>
    <t>Received by Arshad OB</t>
  </si>
  <si>
    <t>Received by Shahid</t>
  </si>
  <si>
    <t>Received by Watch Man</t>
  </si>
  <si>
    <t>Total:-</t>
  </si>
  <si>
    <t>2:-</t>
  </si>
  <si>
    <t>PAY OF FCA</t>
  </si>
  <si>
    <t>FCA</t>
  </si>
  <si>
    <t>Price</t>
  </si>
  <si>
    <t>Daily Promo</t>
  </si>
  <si>
    <t>Received by  Arshad DSO</t>
  </si>
  <si>
    <t>X</t>
  </si>
  <si>
    <t>Received by  Husain DSO.</t>
  </si>
  <si>
    <t>Received by  Ihsan Kiosk</t>
  </si>
  <si>
    <t>Received by  Sajjad Kiosik</t>
  </si>
  <si>
    <t>Received by  Izaz Kiosik Gandapur</t>
  </si>
  <si>
    <t>Received by  Sajid Kiosik</t>
  </si>
  <si>
    <t>Received by  Qasim DSO</t>
  </si>
  <si>
    <t>Received by  Falak Naaz Retailer</t>
  </si>
  <si>
    <t>Received by  Noor Halim SKT</t>
  </si>
  <si>
    <t>Received by  Faisal Qari SKT</t>
  </si>
  <si>
    <t>Received by  Khizer RSO</t>
  </si>
  <si>
    <t>Received by  Riaz RSO</t>
  </si>
  <si>
    <t>Received by Sabir RSO</t>
  </si>
  <si>
    <t>Received by  Shahjehan Retailer</t>
  </si>
  <si>
    <t>Received by  Naveed Retailer</t>
  </si>
  <si>
    <t>Received by  Khushnood Retailer</t>
  </si>
  <si>
    <t xml:space="preserve">Received by  Zaman Mobile </t>
  </si>
  <si>
    <t>Received by  Ahmad Raza Retailer</t>
  </si>
  <si>
    <t>19-</t>
  </si>
  <si>
    <t>Received by  Shehzad Al-Jazeera</t>
  </si>
  <si>
    <t>20-</t>
  </si>
  <si>
    <t>Received by  Attaurehman Wartair</t>
  </si>
  <si>
    <t>21-</t>
  </si>
  <si>
    <t>Received by Zaman Bonus MNP + Fca</t>
  </si>
  <si>
    <t xml:space="preserve">3:- </t>
  </si>
  <si>
    <t>Utilities</t>
  </si>
  <si>
    <t>Received by Office Bijjli Bill.</t>
  </si>
  <si>
    <t>4:-</t>
  </si>
  <si>
    <t xml:space="preserve">Communication Detail. </t>
  </si>
  <si>
    <t>Received by Office PTCL Bill.</t>
  </si>
  <si>
    <t>Received by Shakil Load.</t>
  </si>
  <si>
    <t>Received by Islam Badshah Sb Home Super Cards.</t>
  </si>
  <si>
    <t>Received by Haider Package</t>
  </si>
  <si>
    <t xml:space="preserve">Received by Shahab Easy Card. </t>
  </si>
  <si>
    <t>Received by Shahid Package.</t>
  </si>
  <si>
    <t>Received by Muhammad Israr Package.</t>
  </si>
  <si>
    <t>5:-</t>
  </si>
  <si>
    <t xml:space="preserve">Stationary. </t>
  </si>
  <si>
    <t>Received by Photo State</t>
  </si>
  <si>
    <t>6:-</t>
  </si>
  <si>
    <t>Islam Badshah Sb Received-</t>
  </si>
  <si>
    <t>IESCO</t>
  </si>
  <si>
    <t>SNGPL</t>
  </si>
  <si>
    <t>PESCO</t>
  </si>
  <si>
    <t>Received by Bills, IESCO, SNGPL, PESCO Etc.</t>
  </si>
  <si>
    <t>Received by Home ( Badaste Shahab )</t>
  </si>
  <si>
    <t>Received by Israr Badshah Home Amount.</t>
  </si>
  <si>
    <t>Received by Haider Driver Salary.</t>
  </si>
  <si>
    <t>Received by Islam Badshah Sb Home Gamle Colore</t>
  </si>
  <si>
    <t>Received by Islam Badshah Sb Home Gamle Colore Wages ( Dehari)</t>
  </si>
  <si>
    <t>Received by PEACE Account.</t>
  </si>
  <si>
    <t>Received by Bacha Rehman Badste Shahab</t>
  </si>
  <si>
    <t>Received by Maali.</t>
  </si>
  <si>
    <t>Received by Raja Medicine.</t>
  </si>
  <si>
    <t>Received by Masjid + Khtam-Ul-Quran.</t>
  </si>
  <si>
    <t>7:-</t>
  </si>
  <si>
    <t>Received by Israr Bacha Partner Ship Amount Income</t>
  </si>
  <si>
    <t>Received by office Laptop Charger</t>
  </si>
  <si>
    <t>Received by BVS Software ( 4 X 1500 )</t>
  </si>
  <si>
    <t>Received by Coomputer Supply</t>
  </si>
  <si>
    <t>Received by Office Safaye Wala</t>
  </si>
  <si>
    <t>Received by Wiper , Pocha Etc</t>
  </si>
  <si>
    <t>Received by Air Cooler Cable</t>
  </si>
  <si>
    <t>Received by Battery Watter</t>
  </si>
  <si>
    <t>Received by Office Cooler Waora ( ICE )</t>
  </si>
  <si>
    <t>8:-</t>
  </si>
  <si>
    <t>Amount Received During in Aug 2026</t>
  </si>
  <si>
    <t>S.No</t>
  </si>
  <si>
    <t>Name Or Tiltle Of Amount.</t>
  </si>
  <si>
    <t>Rececived Commission From Ufone                  North region promo july.26</t>
  </si>
  <si>
    <t>Rececived Commission From Ufone                  GA 27 july comm</t>
  </si>
  <si>
    <t>Rececived Commission From Ufone                  FR Commission 16-31 JULY 2026</t>
  </si>
  <si>
    <t>Rececived Commission From Ufone                  FCA Promo JULY 2026</t>
  </si>
  <si>
    <t>Rececived Commission From Ufone                  PBC july 26</t>
  </si>
  <si>
    <t>Rececived Commission From Ufone                  Non MNP Loading Commission from 1st to 15th AUG 2026</t>
  </si>
  <si>
    <t>Rececived Commission From Ufone                  MNP july 26</t>
  </si>
  <si>
    <t>Rececived Commission From Ufone                  3G to 4G Sunset (21 to 31 July'26)</t>
  </si>
  <si>
    <t>Rececived Commission From Ufone                  3G to 4G Sunset Project SIMS replaced 01to 12Aug</t>
  </si>
  <si>
    <t>Rececived Commission From Ufone                  3G to 4G Sunset Project SIMS replaced 13 to 26Aug</t>
  </si>
  <si>
    <t>Rececived Commission From Ufone                  EVC FOC ADJUSMENT AUG 26</t>
  </si>
  <si>
    <t>TOTAL :-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</si>
</sst>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[$-409]d\-mmm\-yyyy;@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name val="Times New Roman"/>
      <family val="1"/>
    </font>
    <font>
      <b/>
      <sz val="18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b/>
      <sz val="8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9"/>
      <color theme="1"/>
      <name val="Times New Roman"/>
      <family val="1"/>
    </font>
    <font>
      <sz val="8"/>
      <name val="Arial"/>
      <family val="2"/>
    </font>
    <font>
      <b/>
      <sz val="14"/>
      <color indexed="8"/>
      <name val="Times New Roman"/>
      <family val="1"/>
    </font>
    <font>
      <b/>
      <sz val="12"/>
      <color theme="1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  <font>
      <b/>
      <sz val="16"/>
      <name val="Times New Roman"/>
      <family val="1"/>
    </font>
    <font>
      <sz val="16"/>
      <name val="Times New Roman"/>
      <family val="1"/>
    </font>
    <font>
      <sz val="11"/>
      <name val="Times New Roman"/>
      <family val="1"/>
    </font>
    <font>
      <b/>
      <sz val="14"/>
      <name val="Arial"/>
      <family val="2"/>
    </font>
    <font>
      <sz val="10"/>
      <name val="Arial"/>
      <family val="2"/>
    </font>
    <font>
      <b/>
      <sz val="13"/>
      <color theme="1"/>
      <name val="Times New Roman"/>
      <family val="1"/>
    </font>
    <font>
      <b/>
      <sz val="8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3"/>
      <name val="Times New Roman"/>
      <family val="1"/>
    </font>
    <font>
      <sz val="8"/>
      <name val="Times New Roman"/>
      <family val="1"/>
    </font>
    <font>
      <sz val="8"/>
      <color theme="1"/>
      <name val="Times New Roman"/>
      <family val="1"/>
    </font>
    <font>
      <b/>
      <sz val="8"/>
      <name val="Arial"/>
      <family val="2"/>
    </font>
    <font>
      <sz val="9"/>
      <name val="Times New Roman"/>
      <family val="1"/>
    </font>
    <font>
      <b/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theme="1"/>
      </left>
      <right style="medium">
        <color indexed="64"/>
      </right>
      <top style="medium">
        <color theme="1"/>
      </top>
      <bottom style="thin">
        <color indexed="64"/>
      </bottom>
      <diagonal/>
    </border>
    <border>
      <left style="medium">
        <color indexed="64"/>
      </left>
      <right/>
      <top style="medium">
        <color theme="1"/>
      </top>
      <bottom style="thin">
        <color indexed="64"/>
      </bottom>
      <diagonal/>
    </border>
    <border>
      <left/>
      <right/>
      <top style="medium">
        <color theme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indexed="64"/>
      </right>
      <top style="thin">
        <color indexed="64"/>
      </top>
      <bottom style="medium">
        <color theme="1"/>
      </bottom>
      <diagonal/>
    </border>
    <border>
      <left style="medium">
        <color indexed="64"/>
      </left>
      <right/>
      <top style="thin">
        <color indexed="64"/>
      </top>
      <bottom style="medium">
        <color theme="1"/>
      </bottom>
      <diagonal/>
    </border>
    <border>
      <left/>
      <right/>
      <top style="thin">
        <color indexed="64"/>
      </top>
      <bottom style="medium">
        <color theme="1"/>
      </bottom>
      <diagonal/>
    </border>
    <border>
      <left/>
      <right style="medium">
        <color indexed="64"/>
      </right>
      <top style="thin">
        <color indexed="64"/>
      </top>
      <bottom style="medium">
        <color theme="1"/>
      </bottom>
      <diagonal/>
    </border>
    <border>
      <left/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2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164" fontId="5" fillId="3" borderId="4" xfId="0" applyNumberFormat="1" applyFont="1" applyFill="1" applyBorder="1" applyAlignment="1">
      <alignment horizontal="center" vertical="center" wrapText="1"/>
    </xf>
    <xf numFmtId="164" fontId="5" fillId="3" borderId="5" xfId="0" applyNumberFormat="1" applyFont="1" applyFill="1" applyBorder="1" applyAlignment="1">
      <alignment horizontal="center" vertical="center" wrapText="1"/>
    </xf>
    <xf numFmtId="164" fontId="5" fillId="3" borderId="2" xfId="0" applyNumberFormat="1" applyFont="1" applyFill="1" applyBorder="1" applyAlignment="1">
      <alignment horizontal="center" vertical="center" wrapText="1"/>
    </xf>
    <xf numFmtId="164" fontId="5" fillId="3" borderId="3" xfId="0" applyNumberFormat="1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164" fontId="5" fillId="2" borderId="2" xfId="0" applyNumberFormat="1" applyFont="1" applyFill="1" applyBorder="1" applyAlignment="1">
      <alignment horizontal="center" vertical="center" wrapText="1"/>
    </xf>
    <xf numFmtId="164" fontId="5" fillId="2" borderId="3" xfId="0" applyNumberFormat="1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vertical="center"/>
    </xf>
    <xf numFmtId="0" fontId="11" fillId="0" borderId="11" xfId="0" applyFont="1" applyBorder="1" applyAlignment="1">
      <alignment vertical="center"/>
    </xf>
    <xf numFmtId="0" fontId="5" fillId="0" borderId="6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/>
    </xf>
    <xf numFmtId="0" fontId="6" fillId="3" borderId="1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vertical="center" wrapText="1"/>
    </xf>
    <xf numFmtId="0" fontId="6" fillId="3" borderId="3" xfId="0" applyFont="1" applyFill="1" applyBorder="1" applyAlignment="1">
      <alignment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left" vertical="center" wrapText="1"/>
    </xf>
    <xf numFmtId="0" fontId="8" fillId="3" borderId="15" xfId="0" applyFont="1" applyFill="1" applyBorder="1" applyAlignment="1">
      <alignment horizontal="left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1" fontId="8" fillId="3" borderId="13" xfId="0" applyNumberFormat="1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left" vertical="center" wrapText="1"/>
    </xf>
    <xf numFmtId="0" fontId="8" fillId="3" borderId="21" xfId="0" applyFont="1" applyFill="1" applyBorder="1" applyAlignment="1">
      <alignment horizontal="left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center" vertical="center" wrapText="1"/>
    </xf>
    <xf numFmtId="0" fontId="0" fillId="3" borderId="24" xfId="0" applyFill="1" applyBorder="1" applyAlignment="1">
      <alignment vertical="center"/>
    </xf>
    <xf numFmtId="0" fontId="8" fillId="3" borderId="25" xfId="0" applyFont="1" applyFill="1" applyBorder="1" applyAlignment="1">
      <alignment horizontal="center" vertical="center" wrapText="1"/>
    </xf>
    <xf numFmtId="0" fontId="8" fillId="3" borderId="26" xfId="0" applyFont="1" applyFill="1" applyBorder="1" applyAlignment="1">
      <alignment horizontal="left" vertical="center" wrapText="1"/>
    </xf>
    <xf numFmtId="0" fontId="8" fillId="3" borderId="27" xfId="0" applyFont="1" applyFill="1" applyBorder="1" applyAlignment="1">
      <alignment horizontal="left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8" fillId="3" borderId="29" xfId="0" applyFont="1" applyFill="1" applyBorder="1" applyAlignment="1">
      <alignment horizontal="center" vertical="center" wrapText="1"/>
    </xf>
    <xf numFmtId="0" fontId="8" fillId="3" borderId="26" xfId="0" applyFont="1" applyFill="1" applyBorder="1" applyAlignment="1">
      <alignment horizontal="center" vertical="center" wrapText="1"/>
    </xf>
    <xf numFmtId="0" fontId="0" fillId="3" borderId="30" xfId="0" applyFill="1" applyBorder="1" applyAlignment="1">
      <alignment vertical="center"/>
    </xf>
    <xf numFmtId="0" fontId="8" fillId="3" borderId="1" xfId="0" applyFont="1" applyFill="1" applyBorder="1" applyAlignment="1">
      <alignment vertical="center" wrapText="1"/>
    </xf>
    <xf numFmtId="0" fontId="8" fillId="3" borderId="2" xfId="0" applyFont="1" applyFill="1" applyBorder="1" applyAlignment="1">
      <alignment vertical="center" wrapText="1"/>
    </xf>
    <xf numFmtId="0" fontId="8" fillId="3" borderId="3" xfId="0" applyFont="1" applyFill="1" applyBorder="1" applyAlignment="1">
      <alignment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0" fillId="3" borderId="0" xfId="0" applyFill="1"/>
    <xf numFmtId="0" fontId="0" fillId="3" borderId="5" xfId="0" applyFill="1" applyBorder="1" applyAlignment="1"/>
    <xf numFmtId="0" fontId="8" fillId="2" borderId="1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0" fillId="3" borderId="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0" fillId="0" borderId="2" xfId="0" applyFont="1" applyBorder="1"/>
    <xf numFmtId="0" fontId="0" fillId="0" borderId="3" xfId="0" applyFont="1" applyBorder="1"/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left" vertical="center" wrapText="1"/>
    </xf>
    <xf numFmtId="0" fontId="0" fillId="0" borderId="17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6" fillId="0" borderId="32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0" fillId="3" borderId="33" xfId="0" applyFill="1" applyBorder="1" applyAlignment="1"/>
    <xf numFmtId="0" fontId="0" fillId="3" borderId="0" xfId="0" applyFill="1" applyBorder="1" applyAlignment="1"/>
    <xf numFmtId="0" fontId="15" fillId="3" borderId="16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1" fontId="7" fillId="3" borderId="32" xfId="0" applyNumberFormat="1" applyFont="1" applyFill="1" applyBorder="1" applyAlignment="1">
      <alignment horizontal="center" wrapText="1"/>
    </xf>
    <xf numFmtId="1" fontId="7" fillId="3" borderId="34" xfId="0" applyNumberFormat="1" applyFont="1" applyFill="1" applyBorder="1" applyAlignment="1">
      <alignment horizontal="center" wrapText="1"/>
    </xf>
    <xf numFmtId="1" fontId="7" fillId="3" borderId="18" xfId="0" applyNumberFormat="1" applyFont="1" applyFill="1" applyBorder="1" applyAlignment="1">
      <alignment horizontal="center" wrapText="1"/>
    </xf>
    <xf numFmtId="0" fontId="8" fillId="0" borderId="19" xfId="0" applyFont="1" applyFill="1" applyBorder="1" applyAlignment="1">
      <alignment horizontal="center" vertical="center" wrapText="1"/>
    </xf>
    <xf numFmtId="0" fontId="6" fillId="0" borderId="22" xfId="0" applyFont="1" applyFill="1" applyBorder="1" applyAlignment="1">
      <alignment horizontal="left" vertical="center" wrapText="1"/>
    </xf>
    <xf numFmtId="0" fontId="0" fillId="0" borderId="23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6" fillId="0" borderId="36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15" fillId="3" borderId="22" xfId="0" applyFont="1" applyFill="1" applyBorder="1" applyAlignment="1">
      <alignment horizontal="center"/>
    </xf>
    <xf numFmtId="0" fontId="0" fillId="0" borderId="23" xfId="0" applyBorder="1" applyAlignment="1">
      <alignment horizontal="center"/>
    </xf>
    <xf numFmtId="1" fontId="7" fillId="3" borderId="36" xfId="0" applyNumberFormat="1" applyFont="1" applyFill="1" applyBorder="1" applyAlignment="1">
      <alignment horizontal="center" wrapText="1"/>
    </xf>
    <xf numFmtId="1" fontId="7" fillId="3" borderId="37" xfId="0" applyNumberFormat="1" applyFont="1" applyFill="1" applyBorder="1" applyAlignment="1">
      <alignment horizontal="center" wrapText="1"/>
    </xf>
    <xf numFmtId="1" fontId="7" fillId="3" borderId="24" xfId="0" applyNumberFormat="1" applyFont="1" applyFill="1" applyBorder="1" applyAlignment="1">
      <alignment horizontal="center" wrapText="1"/>
    </xf>
    <xf numFmtId="0" fontId="8" fillId="0" borderId="38" xfId="0" applyFont="1" applyFill="1" applyBorder="1" applyAlignment="1">
      <alignment horizontal="center" vertical="center" wrapText="1"/>
    </xf>
    <xf numFmtId="0" fontId="16" fillId="3" borderId="0" xfId="0" applyFont="1" applyFill="1" applyAlignment="1">
      <alignment vertical="center"/>
    </xf>
    <xf numFmtId="0" fontId="15" fillId="3" borderId="22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17" fillId="2" borderId="1" xfId="0" applyFont="1" applyFill="1" applyBorder="1" applyAlignment="1">
      <alignment horizontal="center" wrapText="1"/>
    </xf>
    <xf numFmtId="0" fontId="17" fillId="2" borderId="2" xfId="0" applyFont="1" applyFill="1" applyBorder="1" applyAlignment="1">
      <alignment horizontal="center" wrapText="1"/>
    </xf>
    <xf numFmtId="0" fontId="17" fillId="2" borderId="3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16" fillId="3" borderId="0" xfId="0" applyFont="1" applyFill="1" applyAlignment="1"/>
    <xf numFmtId="0" fontId="18" fillId="2" borderId="39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1" fontId="9" fillId="2" borderId="1" xfId="0" applyNumberFormat="1" applyFont="1" applyFill="1" applyBorder="1" applyAlignment="1">
      <alignment horizontal="center" vertical="center" wrapText="1"/>
    </xf>
    <xf numFmtId="1" fontId="9" fillId="2" borderId="2" xfId="0" applyNumberFormat="1" applyFont="1" applyFill="1" applyBorder="1" applyAlignment="1">
      <alignment horizontal="center" vertical="center" wrapText="1"/>
    </xf>
    <xf numFmtId="1" fontId="9" fillId="2" borderId="3" xfId="0" applyNumberFormat="1" applyFont="1" applyFill="1" applyBorder="1" applyAlignment="1">
      <alignment horizontal="center" vertical="center" wrapText="1"/>
    </xf>
    <xf numFmtId="0" fontId="19" fillId="3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14" fillId="0" borderId="2" xfId="0" applyFont="1" applyBorder="1"/>
    <xf numFmtId="0" fontId="14" fillId="0" borderId="3" xfId="0" applyFont="1" applyBorder="1"/>
    <xf numFmtId="0" fontId="7" fillId="0" borderId="16" xfId="0" applyFont="1" applyFill="1" applyBorder="1" applyAlignment="1">
      <alignment horizontal="left" vertical="center" wrapText="1"/>
    </xf>
    <xf numFmtId="0" fontId="6" fillId="0" borderId="40" xfId="0" applyFont="1" applyFill="1" applyBorder="1" applyAlignment="1">
      <alignment horizontal="center" wrapText="1"/>
    </xf>
    <xf numFmtId="0" fontId="0" fillId="0" borderId="41" xfId="0" applyBorder="1" applyAlignment="1">
      <alignment horizontal="center"/>
    </xf>
    <xf numFmtId="0" fontId="7" fillId="0" borderId="39" xfId="0" applyFont="1" applyFill="1" applyBorder="1" applyAlignment="1">
      <alignment horizontal="center" vertical="center"/>
    </xf>
    <xf numFmtId="0" fontId="7" fillId="0" borderId="42" xfId="0" applyFont="1" applyFill="1" applyBorder="1" applyAlignment="1">
      <alignment horizontal="center" vertical="center"/>
    </xf>
    <xf numFmtId="9" fontId="7" fillId="0" borderId="42" xfId="2" applyFont="1" applyFill="1" applyBorder="1" applyAlignment="1">
      <alignment horizontal="center" vertical="center"/>
    </xf>
    <xf numFmtId="0" fontId="0" fillId="0" borderId="43" xfId="0" applyBorder="1"/>
    <xf numFmtId="0" fontId="8" fillId="0" borderId="44" xfId="0" applyFont="1" applyFill="1" applyBorder="1" applyAlignment="1">
      <alignment horizontal="center" vertical="center" wrapText="1"/>
    </xf>
    <xf numFmtId="0" fontId="7" fillId="0" borderId="22" xfId="0" applyFont="1" applyFill="1" applyBorder="1" applyAlignment="1">
      <alignment horizontal="left" vertical="center" wrapText="1"/>
    </xf>
    <xf numFmtId="0" fontId="6" fillId="0" borderId="22" xfId="0" applyFont="1" applyFill="1" applyBorder="1" applyAlignment="1">
      <alignment horizontal="center" wrapText="1"/>
    </xf>
    <xf numFmtId="0" fontId="6" fillId="0" borderId="35" xfId="0" applyFont="1" applyFill="1" applyBorder="1" applyAlignment="1">
      <alignment horizontal="center" wrapText="1"/>
    </xf>
    <xf numFmtId="3" fontId="6" fillId="0" borderId="45" xfId="1" applyNumberFormat="1" applyFont="1" applyFill="1" applyBorder="1" applyAlignment="1">
      <alignment horizontal="center" vertical="center"/>
    </xf>
    <xf numFmtId="3" fontId="6" fillId="0" borderId="46" xfId="1" applyNumberFormat="1" applyFont="1" applyFill="1" applyBorder="1" applyAlignment="1">
      <alignment horizontal="center" vertical="center"/>
    </xf>
    <xf numFmtId="1" fontId="6" fillId="3" borderId="7" xfId="0" applyNumberFormat="1" applyFont="1" applyFill="1" applyBorder="1" applyAlignment="1">
      <alignment horizontal="right" vertical="center"/>
    </xf>
    <xf numFmtId="0" fontId="20" fillId="3" borderId="8" xfId="0" applyFont="1" applyFill="1" applyBorder="1" applyAlignment="1">
      <alignment horizontal="left" vertical="center"/>
    </xf>
    <xf numFmtId="0" fontId="6" fillId="3" borderId="22" xfId="0" applyFont="1" applyFill="1" applyBorder="1" applyAlignment="1">
      <alignment horizontal="center" wrapText="1"/>
    </xf>
    <xf numFmtId="0" fontId="6" fillId="3" borderId="35" xfId="0" applyFont="1" applyFill="1" applyBorder="1" applyAlignment="1">
      <alignment horizontal="center" wrapText="1"/>
    </xf>
    <xf numFmtId="0" fontId="0" fillId="3" borderId="0" xfId="0" applyFill="1" applyAlignment="1"/>
    <xf numFmtId="0" fontId="7" fillId="0" borderId="23" xfId="0" applyFont="1" applyFill="1" applyBorder="1" applyAlignment="1">
      <alignment horizontal="left" vertical="center" wrapText="1"/>
    </xf>
    <xf numFmtId="0" fontId="7" fillId="0" borderId="35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center"/>
    </xf>
    <xf numFmtId="0" fontId="7" fillId="0" borderId="22" xfId="0" applyFont="1" applyFill="1" applyBorder="1" applyAlignment="1">
      <alignment horizontal="left" wrapText="1"/>
    </xf>
    <xf numFmtId="0" fontId="7" fillId="0" borderId="23" xfId="0" applyFont="1" applyFill="1" applyBorder="1" applyAlignment="1">
      <alignment horizontal="left" wrapText="1"/>
    </xf>
    <xf numFmtId="0" fontId="7" fillId="0" borderId="35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21" fillId="2" borderId="10" xfId="0" applyFont="1" applyFill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 wrapText="1"/>
    </xf>
    <xf numFmtId="0" fontId="21" fillId="2" borderId="7" xfId="0" applyFont="1" applyFill="1" applyBorder="1" applyAlignment="1">
      <alignment horizontal="center" vertical="center" wrapText="1"/>
    </xf>
    <xf numFmtId="0" fontId="21" fillId="2" borderId="8" xfId="0" applyFont="1" applyFill="1" applyBorder="1" applyAlignment="1">
      <alignment horizontal="center" vertical="center" wrapText="1"/>
    </xf>
    <xf numFmtId="0" fontId="8" fillId="0" borderId="47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12" fillId="3" borderId="0" xfId="0" applyFont="1" applyFill="1"/>
    <xf numFmtId="0" fontId="6" fillId="0" borderId="13" xfId="0" applyFont="1" applyFill="1" applyBorder="1" applyAlignment="1">
      <alignment horizontal="left" vertical="center" wrapText="1"/>
    </xf>
    <xf numFmtId="1" fontId="13" fillId="3" borderId="16" xfId="0" applyNumberFormat="1" applyFont="1" applyFill="1" applyBorder="1" applyAlignment="1">
      <alignment horizontal="center" vertical="center" wrapText="1"/>
    </xf>
    <xf numFmtId="1" fontId="13" fillId="3" borderId="17" xfId="0" applyNumberFormat="1" applyFont="1" applyFill="1" applyBorder="1" applyAlignment="1">
      <alignment horizontal="center" vertical="center" wrapText="1"/>
    </xf>
    <xf numFmtId="1" fontId="13" fillId="3" borderId="31" xfId="0" applyNumberFormat="1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6" fillId="0" borderId="31" xfId="0" applyFont="1" applyFill="1" applyBorder="1" applyAlignment="1">
      <alignment horizontal="center" vertical="center" wrapText="1"/>
    </xf>
    <xf numFmtId="1" fontId="6" fillId="0" borderId="4" xfId="0" applyNumberFormat="1" applyFont="1" applyFill="1" applyBorder="1" applyAlignment="1">
      <alignment horizontal="center" vertical="center" wrapText="1"/>
    </xf>
    <xf numFmtId="1" fontId="6" fillId="0" borderId="5" xfId="0" applyNumberFormat="1" applyFont="1" applyFill="1" applyBorder="1" applyAlignment="1">
      <alignment horizontal="center" vertical="center" wrapText="1"/>
    </xf>
    <xf numFmtId="1" fontId="6" fillId="0" borderId="10" xfId="0" applyNumberFormat="1" applyFont="1" applyFill="1" applyBorder="1" applyAlignment="1">
      <alignment horizontal="center" vertical="center" wrapText="1"/>
    </xf>
    <xf numFmtId="0" fontId="6" fillId="0" borderId="48" xfId="0" applyFont="1" applyFill="1" applyBorder="1" applyAlignment="1">
      <alignment horizontal="left" vertical="center" wrapText="1"/>
    </xf>
    <xf numFmtId="1" fontId="13" fillId="3" borderId="49" xfId="0" applyNumberFormat="1" applyFont="1" applyFill="1" applyBorder="1" applyAlignment="1">
      <alignment horizontal="center" vertical="center" wrapText="1"/>
    </xf>
    <xf numFmtId="1" fontId="13" fillId="3" borderId="50" xfId="0" applyNumberFormat="1" applyFont="1" applyFill="1" applyBorder="1" applyAlignment="1">
      <alignment horizontal="center" vertical="center" wrapText="1"/>
    </xf>
    <xf numFmtId="1" fontId="13" fillId="3" borderId="48" xfId="0" applyNumberFormat="1" applyFont="1" applyFill="1" applyBorder="1" applyAlignment="1">
      <alignment horizontal="center" vertical="center" wrapText="1"/>
    </xf>
    <xf numFmtId="0" fontId="6" fillId="0" borderId="49" xfId="0" applyFont="1" applyFill="1" applyBorder="1" applyAlignment="1">
      <alignment horizontal="center" vertical="center" wrapText="1"/>
    </xf>
    <xf numFmtId="0" fontId="6" fillId="0" borderId="50" xfId="0" applyFont="1" applyFill="1" applyBorder="1" applyAlignment="1">
      <alignment horizontal="center" vertical="center" wrapText="1"/>
    </xf>
    <xf numFmtId="0" fontId="6" fillId="0" borderId="48" xfId="0" applyFont="1" applyFill="1" applyBorder="1" applyAlignment="1">
      <alignment horizontal="center" vertical="center" wrapText="1"/>
    </xf>
    <xf numFmtId="1" fontId="6" fillId="0" borderId="22" xfId="0" applyNumberFormat="1" applyFont="1" applyFill="1" applyBorder="1" applyAlignment="1">
      <alignment horizontal="center" vertical="center" wrapText="1"/>
    </xf>
    <xf numFmtId="1" fontId="6" fillId="0" borderId="23" xfId="0" applyNumberFormat="1" applyFont="1" applyFill="1" applyBorder="1" applyAlignment="1">
      <alignment horizontal="center" vertical="center" wrapText="1"/>
    </xf>
    <xf numFmtId="1" fontId="6" fillId="0" borderId="35" xfId="0" applyNumberFormat="1" applyFont="1" applyFill="1" applyBorder="1" applyAlignment="1">
      <alignment horizontal="center" vertical="center" wrapText="1"/>
    </xf>
    <xf numFmtId="0" fontId="6" fillId="3" borderId="35" xfId="0" applyFont="1" applyFill="1" applyBorder="1" applyAlignment="1">
      <alignment horizontal="left" vertical="center" wrapText="1"/>
    </xf>
    <xf numFmtId="1" fontId="13" fillId="3" borderId="22" xfId="0" applyNumberFormat="1" applyFont="1" applyFill="1" applyBorder="1" applyAlignment="1">
      <alignment horizontal="center" vertical="center" wrapText="1"/>
    </xf>
    <xf numFmtId="1" fontId="13" fillId="3" borderId="23" xfId="0" applyNumberFormat="1" applyFont="1" applyFill="1" applyBorder="1" applyAlignment="1">
      <alignment horizontal="center" vertical="center" wrapText="1"/>
    </xf>
    <xf numFmtId="1" fontId="13" fillId="3" borderId="35" xfId="0" applyNumberFormat="1" applyFont="1" applyFill="1" applyBorder="1" applyAlignment="1">
      <alignment horizontal="center" vertical="center" wrapText="1"/>
    </xf>
    <xf numFmtId="0" fontId="6" fillId="0" borderId="22" xfId="0" applyFont="1" applyFill="1" applyBorder="1" applyAlignment="1">
      <alignment horizontal="center" vertical="center" wrapText="1"/>
    </xf>
    <xf numFmtId="0" fontId="6" fillId="0" borderId="23" xfId="0" applyFont="1" applyFill="1" applyBorder="1" applyAlignment="1">
      <alignment horizontal="center" vertical="center" wrapText="1"/>
    </xf>
    <xf numFmtId="0" fontId="6" fillId="0" borderId="35" xfId="0" applyFont="1" applyFill="1" applyBorder="1" applyAlignment="1">
      <alignment horizontal="center" vertical="center" wrapText="1"/>
    </xf>
    <xf numFmtId="1" fontId="6" fillId="3" borderId="22" xfId="0" applyNumberFormat="1" applyFont="1" applyFill="1" applyBorder="1" applyAlignment="1">
      <alignment horizontal="center" vertical="center" wrapText="1"/>
    </xf>
    <xf numFmtId="1" fontId="6" fillId="3" borderId="23" xfId="0" applyNumberFormat="1" applyFont="1" applyFill="1" applyBorder="1" applyAlignment="1">
      <alignment horizontal="center" vertical="center" wrapText="1"/>
    </xf>
    <xf numFmtId="1" fontId="6" fillId="3" borderId="35" xfId="0" applyNumberFormat="1" applyFont="1" applyFill="1" applyBorder="1" applyAlignment="1">
      <alignment horizontal="center" vertical="center" wrapText="1"/>
    </xf>
    <xf numFmtId="0" fontId="6" fillId="0" borderId="35" xfId="0" applyFont="1" applyFill="1" applyBorder="1" applyAlignment="1">
      <alignment horizontal="left" vertical="center" wrapText="1"/>
    </xf>
    <xf numFmtId="0" fontId="0" fillId="3" borderId="23" xfId="0" applyFill="1" applyBorder="1"/>
    <xf numFmtId="0" fontId="0" fillId="3" borderId="35" xfId="0" applyFill="1" applyBorder="1"/>
    <xf numFmtId="0" fontId="6" fillId="3" borderId="51" xfId="0" applyFont="1" applyFill="1" applyBorder="1" applyAlignment="1">
      <alignment horizontal="left" vertical="center" wrapText="1"/>
    </xf>
    <xf numFmtId="0" fontId="6" fillId="0" borderId="51" xfId="0" applyFont="1" applyFill="1" applyBorder="1" applyAlignment="1">
      <alignment horizontal="left" vertical="center" wrapText="1"/>
    </xf>
    <xf numFmtId="1" fontId="13" fillId="3" borderId="28" xfId="0" applyNumberFormat="1" applyFont="1" applyFill="1" applyBorder="1" applyAlignment="1">
      <alignment horizontal="center" vertical="center" wrapText="1"/>
    </xf>
    <xf numFmtId="1" fontId="13" fillId="3" borderId="29" xfId="0" applyNumberFormat="1" applyFont="1" applyFill="1" applyBorder="1" applyAlignment="1">
      <alignment horizontal="center" vertical="center" wrapText="1"/>
    </xf>
    <xf numFmtId="1" fontId="13" fillId="3" borderId="52" xfId="0" applyNumberFormat="1" applyFont="1" applyFill="1" applyBorder="1" applyAlignment="1">
      <alignment horizontal="center" vertical="center" wrapText="1"/>
    </xf>
    <xf numFmtId="0" fontId="6" fillId="0" borderId="28" xfId="0" applyFont="1" applyFill="1" applyBorder="1" applyAlignment="1">
      <alignment horizontal="center" vertical="center" wrapText="1"/>
    </xf>
    <xf numFmtId="0" fontId="6" fillId="0" borderId="29" xfId="0" applyFont="1" applyFill="1" applyBorder="1" applyAlignment="1">
      <alignment horizontal="center" vertical="center" wrapText="1"/>
    </xf>
    <xf numFmtId="0" fontId="6" fillId="0" borderId="52" xfId="0" applyFont="1" applyFill="1" applyBorder="1" applyAlignment="1">
      <alignment horizontal="center" vertical="center" wrapText="1"/>
    </xf>
    <xf numFmtId="1" fontId="6" fillId="0" borderId="28" xfId="0" applyNumberFormat="1" applyFont="1" applyFill="1" applyBorder="1" applyAlignment="1">
      <alignment horizontal="center" vertical="center" wrapText="1"/>
    </xf>
    <xf numFmtId="1" fontId="6" fillId="0" borderId="29" xfId="0" applyNumberFormat="1" applyFont="1" applyFill="1" applyBorder="1" applyAlignment="1">
      <alignment horizontal="center" vertical="center" wrapText="1"/>
    </xf>
    <xf numFmtId="1" fontId="6" fillId="0" borderId="52" xfId="0" applyNumberFormat="1" applyFont="1" applyFill="1" applyBorder="1" applyAlignment="1">
      <alignment horizontal="center" vertical="center" wrapText="1"/>
    </xf>
    <xf numFmtId="1" fontId="21" fillId="2" borderId="4" xfId="0" applyNumberFormat="1" applyFont="1" applyFill="1" applyBorder="1" applyAlignment="1">
      <alignment horizontal="center" vertical="center" wrapText="1"/>
    </xf>
    <xf numFmtId="1" fontId="21" fillId="2" borderId="5" xfId="0" applyNumberFormat="1" applyFont="1" applyFill="1" applyBorder="1" applyAlignment="1">
      <alignment horizontal="center" vertical="center" wrapText="1"/>
    </xf>
    <xf numFmtId="1" fontId="21" fillId="2" borderId="10" xfId="0" applyNumberFormat="1" applyFont="1" applyFill="1" applyBorder="1" applyAlignment="1">
      <alignment horizontal="center" vertical="center" wrapText="1"/>
    </xf>
    <xf numFmtId="1" fontId="21" fillId="2" borderId="6" xfId="0" applyNumberFormat="1" applyFont="1" applyFill="1" applyBorder="1" applyAlignment="1">
      <alignment horizontal="center" vertical="center" wrapText="1"/>
    </xf>
    <xf numFmtId="1" fontId="21" fillId="2" borderId="7" xfId="0" applyNumberFormat="1" applyFont="1" applyFill="1" applyBorder="1" applyAlignment="1">
      <alignment horizontal="center" vertical="center" wrapText="1"/>
    </xf>
    <xf numFmtId="1" fontId="21" fillId="2" borderId="8" xfId="0" applyNumberFormat="1" applyFont="1" applyFill="1" applyBorder="1" applyAlignment="1">
      <alignment horizontal="center" vertical="center" wrapText="1"/>
    </xf>
    <xf numFmtId="0" fontId="9" fillId="3" borderId="0" xfId="0" applyFont="1" applyFill="1" applyBorder="1" applyAlignment="1">
      <alignment vertical="center" wrapText="1"/>
    </xf>
    <xf numFmtId="0" fontId="0" fillId="3" borderId="0" xfId="0" applyFont="1" applyFill="1"/>
    <xf numFmtId="0" fontId="8" fillId="3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53" xfId="0" applyFont="1" applyFill="1" applyBorder="1" applyAlignment="1">
      <alignment horizontal="center" vertical="center" wrapText="1"/>
    </xf>
    <xf numFmtId="0" fontId="8" fillId="3" borderId="54" xfId="0" applyFont="1" applyFill="1" applyBorder="1" applyAlignment="1">
      <alignment horizontal="center" wrapText="1"/>
    </xf>
    <xf numFmtId="0" fontId="8" fillId="3" borderId="53" xfId="0" applyFont="1" applyFill="1" applyBorder="1" applyAlignment="1">
      <alignment horizontal="center" wrapText="1"/>
    </xf>
    <xf numFmtId="0" fontId="8" fillId="3" borderId="55" xfId="0" applyFont="1" applyFill="1" applyBorder="1" applyAlignment="1">
      <alignment horizontal="center" wrapText="1"/>
    </xf>
    <xf numFmtId="0" fontId="8" fillId="3" borderId="56" xfId="0" applyFont="1" applyFill="1" applyBorder="1" applyAlignment="1">
      <alignment horizontal="center" wrapText="1"/>
    </xf>
    <xf numFmtId="0" fontId="9" fillId="3" borderId="10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57" xfId="0" applyFont="1" applyFill="1" applyBorder="1" applyAlignment="1">
      <alignment horizontal="center" vertical="center" wrapText="1"/>
    </xf>
    <xf numFmtId="0" fontId="8" fillId="3" borderId="46" xfId="0" applyFont="1" applyFill="1" applyBorder="1" applyAlignment="1">
      <alignment horizontal="center" wrapText="1"/>
    </xf>
    <xf numFmtId="0" fontId="8" fillId="3" borderId="57" xfId="0" applyFont="1" applyFill="1" applyBorder="1" applyAlignment="1">
      <alignment horizontal="center" wrapText="1"/>
    </xf>
    <xf numFmtId="0" fontId="8" fillId="3" borderId="58" xfId="0" applyFont="1" applyFill="1" applyBorder="1" applyAlignment="1">
      <alignment horizontal="center" wrapText="1"/>
    </xf>
    <xf numFmtId="0" fontId="8" fillId="3" borderId="45" xfId="0" applyFont="1" applyFill="1" applyBorder="1" applyAlignment="1">
      <alignment horizontal="center" wrapText="1"/>
    </xf>
    <xf numFmtId="0" fontId="9" fillId="3" borderId="6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6" fillId="0" borderId="49" xfId="0" applyFont="1" applyFill="1" applyBorder="1" applyAlignment="1">
      <alignment horizontal="left" wrapText="1" indent="4"/>
    </xf>
    <xf numFmtId="3" fontId="8" fillId="0" borderId="49" xfId="1" applyNumberFormat="1" applyFont="1" applyFill="1" applyBorder="1" applyAlignment="1">
      <alignment horizontal="center" wrapText="1"/>
    </xf>
    <xf numFmtId="3" fontId="8" fillId="0" borderId="50" xfId="1" applyNumberFormat="1" applyFont="1" applyFill="1" applyBorder="1" applyAlignment="1">
      <alignment horizontal="center" wrapText="1"/>
    </xf>
    <xf numFmtId="3" fontId="8" fillId="0" borderId="59" xfId="1" applyNumberFormat="1" applyFont="1" applyFill="1" applyBorder="1" applyAlignment="1">
      <alignment horizontal="center" wrapText="1"/>
    </xf>
    <xf numFmtId="1" fontId="8" fillId="0" borderId="60" xfId="0" applyNumberFormat="1" applyFont="1" applyFill="1" applyBorder="1" applyAlignment="1">
      <alignment horizontal="center"/>
    </xf>
    <xf numFmtId="1" fontId="8" fillId="0" borderId="59" xfId="0" applyNumberFormat="1" applyFont="1" applyFill="1" applyBorder="1" applyAlignment="1">
      <alignment horizontal="center"/>
    </xf>
    <xf numFmtId="0" fontId="8" fillId="0" borderId="60" xfId="0" applyFont="1" applyFill="1" applyBorder="1" applyAlignment="1">
      <alignment horizontal="center" wrapText="1"/>
    </xf>
    <xf numFmtId="1" fontId="8" fillId="0" borderId="59" xfId="0" applyNumberFormat="1" applyFont="1" applyFill="1" applyBorder="1" applyAlignment="1">
      <alignment horizontal="center" wrapText="1"/>
    </xf>
    <xf numFmtId="0" fontId="8" fillId="0" borderId="61" xfId="0" applyFont="1" applyFill="1" applyBorder="1" applyAlignment="1">
      <alignment horizontal="center" wrapText="1"/>
    </xf>
    <xf numFmtId="1" fontId="8" fillId="0" borderId="40" xfId="0" applyNumberFormat="1" applyFont="1" applyFill="1" applyBorder="1" applyAlignment="1">
      <alignment horizontal="center" wrapText="1"/>
    </xf>
    <xf numFmtId="1" fontId="8" fillId="3" borderId="59" xfId="0" applyNumberFormat="1" applyFont="1" applyFill="1" applyBorder="1" applyAlignment="1">
      <alignment horizontal="center"/>
    </xf>
    <xf numFmtId="1" fontId="8" fillId="3" borderId="60" xfId="0" applyNumberFormat="1" applyFont="1" applyFill="1" applyBorder="1" applyAlignment="1">
      <alignment horizontal="center"/>
    </xf>
    <xf numFmtId="1" fontId="8" fillId="3" borderId="61" xfId="0" applyNumberFormat="1" applyFont="1" applyFill="1" applyBorder="1" applyAlignment="1">
      <alignment horizontal="center"/>
    </xf>
    <xf numFmtId="1" fontId="6" fillId="3" borderId="40" xfId="0" applyNumberFormat="1" applyFont="1" applyFill="1" applyBorder="1" applyAlignment="1">
      <alignment horizontal="center" wrapText="1"/>
    </xf>
    <xf numFmtId="1" fontId="6" fillId="3" borderId="41" xfId="0" applyNumberFormat="1" applyFont="1" applyFill="1" applyBorder="1" applyAlignment="1">
      <alignment horizontal="center" wrapText="1"/>
    </xf>
    <xf numFmtId="0" fontId="6" fillId="3" borderId="22" xfId="0" applyFont="1" applyFill="1" applyBorder="1" applyAlignment="1">
      <alignment horizontal="left" wrapText="1" indent="4"/>
    </xf>
    <xf numFmtId="3" fontId="8" fillId="3" borderId="22" xfId="1" applyNumberFormat="1" applyFont="1" applyFill="1" applyBorder="1" applyAlignment="1">
      <alignment horizontal="center" wrapText="1"/>
    </xf>
    <xf numFmtId="3" fontId="8" fillId="3" borderId="23" xfId="1" applyNumberFormat="1" applyFont="1" applyFill="1" applyBorder="1" applyAlignment="1">
      <alignment horizontal="center" wrapText="1"/>
    </xf>
    <xf numFmtId="3" fontId="8" fillId="3" borderId="20" xfId="1" applyNumberFormat="1" applyFont="1" applyFill="1" applyBorder="1" applyAlignment="1">
      <alignment horizontal="center" wrapText="1"/>
    </xf>
    <xf numFmtId="0" fontId="8" fillId="0" borderId="37" xfId="0" applyFont="1" applyFill="1" applyBorder="1" applyAlignment="1">
      <alignment horizontal="center"/>
    </xf>
    <xf numFmtId="0" fontId="8" fillId="0" borderId="20" xfId="0" applyFont="1" applyFill="1" applyBorder="1" applyAlignment="1">
      <alignment horizontal="center"/>
    </xf>
    <xf numFmtId="0" fontId="8" fillId="0" borderId="37" xfId="0" applyFont="1" applyFill="1" applyBorder="1" applyAlignment="1">
      <alignment horizontal="center" wrapText="1"/>
    </xf>
    <xf numFmtId="0" fontId="8" fillId="0" borderId="59" xfId="0" applyFont="1" applyFill="1" applyBorder="1" applyAlignment="1">
      <alignment horizontal="center" wrapText="1"/>
    </xf>
    <xf numFmtId="0" fontId="8" fillId="0" borderId="40" xfId="0" applyFont="1" applyFill="1" applyBorder="1" applyAlignment="1">
      <alignment horizontal="center" wrapText="1"/>
    </xf>
    <xf numFmtId="1" fontId="8" fillId="0" borderId="20" xfId="0" applyNumberFormat="1" applyFont="1" applyBorder="1" applyAlignment="1">
      <alignment horizontal="center"/>
    </xf>
    <xf numFmtId="1" fontId="8" fillId="3" borderId="21" xfId="0" applyNumberFormat="1" applyFont="1" applyFill="1" applyBorder="1" applyAlignment="1">
      <alignment horizontal="center"/>
    </xf>
    <xf numFmtId="1" fontId="6" fillId="3" borderId="36" xfId="0" applyNumberFormat="1" applyFont="1" applyFill="1" applyBorder="1" applyAlignment="1">
      <alignment horizontal="center" wrapText="1"/>
    </xf>
    <xf numFmtId="1" fontId="6" fillId="3" borderId="24" xfId="0" applyNumberFormat="1" applyFont="1" applyFill="1" applyBorder="1" applyAlignment="1">
      <alignment horizontal="center" wrapText="1"/>
    </xf>
    <xf numFmtId="3" fontId="8" fillId="3" borderId="28" xfId="1" applyNumberFormat="1" applyFont="1" applyFill="1" applyBorder="1" applyAlignment="1">
      <alignment horizontal="center" wrapText="1"/>
    </xf>
    <xf numFmtId="3" fontId="8" fillId="3" borderId="29" xfId="1" applyNumberFormat="1" applyFont="1" applyFill="1" applyBorder="1" applyAlignment="1">
      <alignment horizontal="center" wrapText="1"/>
    </xf>
    <xf numFmtId="3" fontId="8" fillId="3" borderId="26" xfId="1" applyNumberFormat="1" applyFont="1" applyFill="1" applyBorder="1" applyAlignment="1">
      <alignment horizontal="center" wrapText="1"/>
    </xf>
    <xf numFmtId="1" fontId="6" fillId="3" borderId="62" xfId="0" applyNumberFormat="1" applyFont="1" applyFill="1" applyBorder="1" applyAlignment="1">
      <alignment horizontal="center" wrapText="1"/>
    </xf>
    <xf numFmtId="1" fontId="6" fillId="3" borderId="30" xfId="0" applyNumberFormat="1" applyFont="1" applyFill="1" applyBorder="1" applyAlignment="1">
      <alignment horizontal="center" wrapText="1"/>
    </xf>
    <xf numFmtId="1" fontId="6" fillId="2" borderId="1" xfId="0" applyNumberFormat="1" applyFont="1" applyFill="1" applyBorder="1" applyAlignment="1">
      <alignment horizontal="center" vertical="center" wrapText="1"/>
    </xf>
    <xf numFmtId="0" fontId="0" fillId="0" borderId="63" xfId="0" applyBorder="1"/>
    <xf numFmtId="1" fontId="6" fillId="2" borderId="42" xfId="0" applyNumberFormat="1" applyFont="1" applyFill="1" applyBorder="1" applyAlignment="1">
      <alignment horizontal="center" vertical="center" wrapText="1"/>
    </xf>
    <xf numFmtId="0" fontId="6" fillId="2" borderId="42" xfId="0" applyFont="1" applyFill="1" applyBorder="1" applyAlignment="1">
      <alignment horizontal="center" vertical="center" wrapText="1"/>
    </xf>
    <xf numFmtId="1" fontId="6" fillId="2" borderId="63" xfId="0" applyNumberFormat="1" applyFont="1" applyFill="1" applyBorder="1" applyAlignment="1">
      <alignment horizontal="center" vertical="center" wrapText="1"/>
    </xf>
    <xf numFmtId="0" fontId="6" fillId="2" borderId="64" xfId="0" applyFont="1" applyFill="1" applyBorder="1" applyAlignment="1">
      <alignment horizontal="center" vertical="center" wrapText="1"/>
    </xf>
    <xf numFmtId="0" fontId="6" fillId="2" borderId="39" xfId="0" applyFont="1" applyFill="1" applyBorder="1" applyAlignment="1">
      <alignment horizontal="center" vertical="center" wrapText="1"/>
    </xf>
    <xf numFmtId="0" fontId="6" fillId="2" borderId="63" xfId="0" applyFont="1" applyFill="1" applyBorder="1" applyAlignment="1">
      <alignment horizontal="center" vertical="center" wrapText="1"/>
    </xf>
    <xf numFmtId="1" fontId="9" fillId="2" borderId="6" xfId="0" applyNumberFormat="1" applyFont="1" applyFill="1" applyBorder="1" applyAlignment="1">
      <alignment horizontal="center" vertical="center" wrapText="1"/>
    </xf>
    <xf numFmtId="1" fontId="9" fillId="2" borderId="8" xfId="0" applyNumberFormat="1" applyFont="1" applyFill="1" applyBorder="1" applyAlignment="1">
      <alignment horizontal="center" vertical="center" wrapText="1"/>
    </xf>
    <xf numFmtId="0" fontId="23" fillId="3" borderId="0" xfId="0" applyFont="1" applyFill="1" applyBorder="1" applyAlignment="1">
      <alignment vertical="center" wrapText="1"/>
    </xf>
    <xf numFmtId="0" fontId="24" fillId="3" borderId="0" xfId="0" applyFont="1" applyFill="1" applyBorder="1" applyAlignment="1">
      <alignment vertical="center"/>
    </xf>
    <xf numFmtId="1" fontId="24" fillId="3" borderId="0" xfId="0" applyNumberFormat="1" applyFont="1" applyFill="1" applyBorder="1" applyAlignment="1">
      <alignment horizontal="center" vertical="center" wrapText="1"/>
    </xf>
    <xf numFmtId="0" fontId="24" fillId="0" borderId="0" xfId="0" applyFont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9" fillId="3" borderId="0" xfId="0" applyFont="1" applyFill="1" applyAlignment="1">
      <alignment vertical="center" wrapText="1"/>
    </xf>
    <xf numFmtId="0" fontId="25" fillId="3" borderId="0" xfId="0" applyFont="1" applyFill="1" applyAlignment="1">
      <alignment vertical="center" wrapText="1"/>
    </xf>
    <xf numFmtId="0" fontId="7" fillId="2" borderId="1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9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vertical="center"/>
    </xf>
    <xf numFmtId="0" fontId="8" fillId="3" borderId="49" xfId="0" applyFont="1" applyFill="1" applyBorder="1" applyAlignment="1">
      <alignment horizontal="center" vertical="center"/>
    </xf>
    <xf numFmtId="0" fontId="6" fillId="3" borderId="40" xfId="0" applyFont="1" applyFill="1" applyBorder="1" applyAlignment="1">
      <alignment horizontal="left" vertical="center"/>
    </xf>
    <xf numFmtId="0" fontId="6" fillId="3" borderId="60" xfId="0" applyFont="1" applyFill="1" applyBorder="1" applyAlignment="1">
      <alignment horizontal="left" vertical="center"/>
    </xf>
    <xf numFmtId="0" fontId="6" fillId="3" borderId="41" xfId="0" applyFont="1" applyFill="1" applyBorder="1" applyAlignment="1">
      <alignment horizontal="left" vertical="center"/>
    </xf>
    <xf numFmtId="0" fontId="8" fillId="3" borderId="59" xfId="0" applyFont="1" applyFill="1" applyBorder="1" applyAlignment="1">
      <alignment horizontal="center" vertical="center"/>
    </xf>
    <xf numFmtId="0" fontId="8" fillId="3" borderId="41" xfId="0" applyFont="1" applyFill="1" applyBorder="1" applyAlignment="1">
      <alignment horizontal="center" vertical="center"/>
    </xf>
    <xf numFmtId="0" fontId="8" fillId="3" borderId="61" xfId="0" applyFont="1" applyFill="1" applyBorder="1" applyAlignment="1">
      <alignment horizontal="center" vertical="center"/>
    </xf>
    <xf numFmtId="0" fontId="8" fillId="3" borderId="40" xfId="0" applyFont="1" applyFill="1" applyBorder="1" applyAlignment="1">
      <alignment horizontal="center" vertical="center"/>
    </xf>
    <xf numFmtId="1" fontId="6" fillId="3" borderId="40" xfId="0" applyNumberFormat="1" applyFont="1" applyFill="1" applyBorder="1" applyAlignment="1">
      <alignment horizontal="center" vertical="center"/>
    </xf>
    <xf numFmtId="0" fontId="6" fillId="3" borderId="41" xfId="0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left" vertical="center"/>
    </xf>
    <xf numFmtId="0" fontId="6" fillId="3" borderId="23" xfId="0" applyFont="1" applyFill="1" applyBorder="1" applyAlignment="1">
      <alignment horizontal="left" vertical="center"/>
    </xf>
    <xf numFmtId="0" fontId="6" fillId="3" borderId="35" xfId="0" applyFont="1" applyFill="1" applyBorder="1" applyAlignment="1">
      <alignment horizontal="left" vertical="center"/>
    </xf>
    <xf numFmtId="0" fontId="8" fillId="3" borderId="23" xfId="0" applyFont="1" applyFill="1" applyBorder="1" applyAlignment="1">
      <alignment horizontal="center" vertical="center"/>
    </xf>
    <xf numFmtId="0" fontId="8" fillId="3" borderId="35" xfId="0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0" fontId="8" fillId="3" borderId="28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left" vertical="center"/>
    </xf>
    <xf numFmtId="0" fontId="6" fillId="3" borderId="29" xfId="0" applyFont="1" applyFill="1" applyBorder="1" applyAlignment="1">
      <alignment horizontal="left" vertical="center"/>
    </xf>
    <xf numFmtId="0" fontId="6" fillId="3" borderId="52" xfId="0" applyFont="1" applyFill="1" applyBorder="1" applyAlignment="1">
      <alignment horizontal="left" vertical="center"/>
    </xf>
    <xf numFmtId="0" fontId="8" fillId="3" borderId="29" xfId="0" applyFont="1" applyFill="1" applyBorder="1" applyAlignment="1">
      <alignment horizontal="center" vertical="center"/>
    </xf>
    <xf numFmtId="0" fontId="8" fillId="3" borderId="52" xfId="0" applyFont="1" applyFill="1" applyBorder="1" applyAlignment="1">
      <alignment horizontal="center" vertical="center"/>
    </xf>
    <xf numFmtId="0" fontId="8" fillId="3" borderId="28" xfId="0" applyFont="1" applyFill="1" applyBorder="1" applyAlignment="1">
      <alignment horizontal="center" vertical="center"/>
    </xf>
    <xf numFmtId="1" fontId="6" fillId="3" borderId="65" xfId="0" applyNumberFormat="1" applyFont="1" applyFill="1" applyBorder="1" applyAlignment="1">
      <alignment horizontal="center" vertical="center"/>
    </xf>
    <xf numFmtId="0" fontId="6" fillId="3" borderId="66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0" fontId="26" fillId="2" borderId="2" xfId="0" applyFont="1" applyFill="1" applyBorder="1" applyAlignment="1">
      <alignment horizontal="center" vertical="center"/>
    </xf>
    <xf numFmtId="0" fontId="26" fillId="2" borderId="3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vertical="center"/>
    </xf>
    <xf numFmtId="0" fontId="6" fillId="3" borderId="17" xfId="0" applyFont="1" applyFill="1" applyBorder="1" applyAlignment="1">
      <alignment vertical="center"/>
    </xf>
    <xf numFmtId="0" fontId="6" fillId="3" borderId="31" xfId="0" applyFont="1" applyFill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27" fillId="3" borderId="17" xfId="0" applyFont="1" applyFill="1" applyBorder="1" applyAlignment="1">
      <alignment horizontal="center" vertical="center"/>
    </xf>
    <xf numFmtId="0" fontId="8" fillId="3" borderId="31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32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6" fillId="3" borderId="32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vertical="center"/>
    </xf>
    <xf numFmtId="0" fontId="6" fillId="3" borderId="23" xfId="0" applyFont="1" applyFill="1" applyBorder="1" applyAlignment="1">
      <alignment vertical="center"/>
    </xf>
    <xf numFmtId="0" fontId="6" fillId="3" borderId="35" xfId="0" applyFont="1" applyFill="1" applyBorder="1" applyAlignment="1">
      <alignment vertical="center"/>
    </xf>
    <xf numFmtId="0" fontId="27" fillId="3" borderId="23" xfId="0" applyFont="1" applyFill="1" applyBorder="1" applyAlignment="1">
      <alignment horizontal="center" vertical="center"/>
    </xf>
    <xf numFmtId="0" fontId="8" fillId="3" borderId="35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3" borderId="36" xfId="0" applyFont="1" applyFill="1" applyBorder="1" applyAlignment="1">
      <alignment horizontal="center" vertical="center"/>
    </xf>
    <xf numFmtId="0" fontId="8" fillId="3" borderId="24" xfId="0" applyFont="1" applyFill="1" applyBorder="1" applyAlignment="1">
      <alignment horizontal="center" vertical="center"/>
    </xf>
    <xf numFmtId="0" fontId="6" fillId="3" borderId="36" xfId="0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6" fillId="3" borderId="35" xfId="0" applyFont="1" applyFill="1" applyBorder="1" applyAlignment="1">
      <alignment horizontal="center" vertical="center"/>
    </xf>
    <xf numFmtId="0" fontId="8" fillId="3" borderId="25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vertical="center"/>
    </xf>
    <xf numFmtId="0" fontId="6" fillId="3" borderId="29" xfId="0" applyFont="1" applyFill="1" applyBorder="1" applyAlignment="1">
      <alignment vertical="center"/>
    </xf>
    <xf numFmtId="0" fontId="6" fillId="3" borderId="52" xfId="0" applyFont="1" applyFill="1" applyBorder="1" applyAlignment="1">
      <alignment vertical="center"/>
    </xf>
    <xf numFmtId="0" fontId="27" fillId="3" borderId="29" xfId="0" applyFont="1" applyFill="1" applyBorder="1" applyAlignment="1">
      <alignment horizontal="center" vertical="center"/>
    </xf>
    <xf numFmtId="0" fontId="8" fillId="3" borderId="52" xfId="0" applyFont="1" applyFill="1" applyBorder="1" applyAlignment="1">
      <alignment horizontal="center" vertical="center"/>
    </xf>
    <xf numFmtId="0" fontId="8" fillId="3" borderId="26" xfId="0" applyFont="1" applyFill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8" fillId="3" borderId="62" xfId="0" applyFont="1" applyFill="1" applyBorder="1" applyAlignment="1">
      <alignment horizontal="center" vertical="center"/>
    </xf>
    <xf numFmtId="0" fontId="8" fillId="3" borderId="30" xfId="0" applyFont="1" applyFill="1" applyBorder="1" applyAlignment="1">
      <alignment horizontal="center" vertical="center"/>
    </xf>
    <xf numFmtId="0" fontId="6" fillId="3" borderId="62" xfId="0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horizontal="center" vertical="center"/>
    </xf>
    <xf numFmtId="0" fontId="28" fillId="2" borderId="6" xfId="0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center"/>
    </xf>
    <xf numFmtId="0" fontId="28" fillId="2" borderId="8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/>
    </xf>
    <xf numFmtId="0" fontId="18" fillId="2" borderId="8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8" fillId="2" borderId="8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0" fillId="0" borderId="10" xfId="0" applyBorder="1"/>
    <xf numFmtId="0" fontId="19" fillId="3" borderId="0" xfId="0" applyFont="1" applyFill="1" applyAlignment="1">
      <alignment vertical="center"/>
    </xf>
    <xf numFmtId="0" fontId="6" fillId="3" borderId="0" xfId="0" applyFont="1" applyFill="1" applyBorder="1" applyAlignment="1">
      <alignment horizontal="center" vertical="center"/>
    </xf>
    <xf numFmtId="0" fontId="25" fillId="3" borderId="0" xfId="0" applyFont="1" applyFill="1" applyAlignment="1">
      <alignment vertical="center"/>
    </xf>
    <xf numFmtId="0" fontId="8" fillId="3" borderId="1" xfId="0" applyFont="1" applyFill="1" applyBorder="1" applyAlignment="1">
      <alignment horizontal="center" vertical="center"/>
    </xf>
    <xf numFmtId="0" fontId="7" fillId="3" borderId="39" xfId="0" applyFont="1" applyFill="1" applyBorder="1" applyAlignment="1">
      <alignment horizontal="left" vertical="center"/>
    </xf>
    <xf numFmtId="0" fontId="7" fillId="3" borderId="42" xfId="0" applyFont="1" applyFill="1" applyBorder="1" applyAlignment="1">
      <alignment horizontal="left" vertical="center"/>
    </xf>
    <xf numFmtId="0" fontId="7" fillId="3" borderId="43" xfId="0" applyFont="1" applyFill="1" applyBorder="1" applyAlignment="1">
      <alignment horizontal="left" vertical="center"/>
    </xf>
    <xf numFmtId="0" fontId="7" fillId="3" borderId="63" xfId="0" applyFont="1" applyFill="1" applyBorder="1" applyAlignment="1">
      <alignment horizontal="center" vertical="center"/>
    </xf>
    <xf numFmtId="0" fontId="7" fillId="3" borderId="43" xfId="0" applyFont="1" applyFill="1" applyBorder="1" applyAlignment="1">
      <alignment horizontal="center" vertical="center"/>
    </xf>
    <xf numFmtId="0" fontId="23" fillId="3" borderId="0" xfId="0" applyFont="1" applyFill="1" applyAlignment="1">
      <alignment vertical="center"/>
    </xf>
    <xf numFmtId="0" fontId="19" fillId="3" borderId="0" xfId="0" applyFont="1" applyFill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center" vertical="center"/>
    </xf>
    <xf numFmtId="0" fontId="29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19" fillId="3" borderId="0" xfId="0" applyFont="1" applyFill="1" applyAlignment="1">
      <alignment horizontal="right" vertical="center"/>
    </xf>
    <xf numFmtId="0" fontId="8" fillId="3" borderId="67" xfId="0" applyFont="1" applyFill="1" applyBorder="1" applyAlignment="1">
      <alignment horizontal="center" vertical="center"/>
    </xf>
    <xf numFmtId="0" fontId="6" fillId="3" borderId="68" xfId="0" applyFont="1" applyFill="1" applyBorder="1" applyAlignment="1">
      <alignment horizontal="left" vertical="center"/>
    </xf>
    <xf numFmtId="0" fontId="6" fillId="3" borderId="69" xfId="0" applyFont="1" applyFill="1" applyBorder="1" applyAlignment="1">
      <alignment horizontal="left" vertical="center"/>
    </xf>
    <xf numFmtId="0" fontId="6" fillId="3" borderId="70" xfId="0" applyFont="1" applyFill="1" applyBorder="1" applyAlignment="1">
      <alignment horizontal="center" vertical="center"/>
    </xf>
    <xf numFmtId="0" fontId="6" fillId="3" borderId="71" xfId="0" applyFont="1" applyFill="1" applyBorder="1" applyAlignment="1">
      <alignment horizontal="center" vertical="center"/>
    </xf>
    <xf numFmtId="0" fontId="23" fillId="3" borderId="0" xfId="0" applyFont="1" applyFill="1" applyAlignment="1">
      <alignment horizontal="center" vertical="center"/>
    </xf>
    <xf numFmtId="0" fontId="8" fillId="3" borderId="72" xfId="0" applyFont="1" applyFill="1" applyBorder="1" applyAlignment="1">
      <alignment horizontal="center" vertical="center"/>
    </xf>
    <xf numFmtId="0" fontId="6" fillId="3" borderId="73" xfId="0" applyFont="1" applyFill="1" applyBorder="1" applyAlignment="1">
      <alignment horizontal="center" vertical="center"/>
    </xf>
    <xf numFmtId="0" fontId="8" fillId="3" borderId="74" xfId="0" applyFont="1" applyFill="1" applyBorder="1" applyAlignment="1">
      <alignment horizontal="center" vertical="center"/>
    </xf>
    <xf numFmtId="0" fontId="6" fillId="3" borderId="75" xfId="0" applyFont="1" applyFill="1" applyBorder="1" applyAlignment="1">
      <alignment horizontal="left" vertical="center"/>
    </xf>
    <xf numFmtId="0" fontId="6" fillId="3" borderId="76" xfId="0" applyFont="1" applyFill="1" applyBorder="1" applyAlignment="1">
      <alignment horizontal="left" vertical="center"/>
    </xf>
    <xf numFmtId="0" fontId="6" fillId="3" borderId="77" xfId="0" applyFont="1" applyFill="1" applyBorder="1" applyAlignment="1">
      <alignment horizontal="left" vertical="center"/>
    </xf>
    <xf numFmtId="0" fontId="6" fillId="3" borderId="75" xfId="0" applyFont="1" applyFill="1" applyBorder="1" applyAlignment="1">
      <alignment horizontal="center" vertical="center"/>
    </xf>
    <xf numFmtId="0" fontId="6" fillId="3" borderId="78" xfId="0" applyFont="1" applyFill="1" applyBorder="1" applyAlignment="1">
      <alignment horizontal="center" vertical="center"/>
    </xf>
    <xf numFmtId="0" fontId="29" fillId="2" borderId="45" xfId="0" applyFont="1" applyFill="1" applyBorder="1" applyAlignment="1">
      <alignment horizontal="center" vertical="center"/>
    </xf>
    <xf numFmtId="0" fontId="29" fillId="2" borderId="58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6" fillId="3" borderId="63" xfId="0" applyFont="1" applyFill="1" applyBorder="1" applyAlignment="1">
      <alignment horizontal="center" vertical="center"/>
    </xf>
    <xf numFmtId="0" fontId="6" fillId="3" borderId="43" xfId="0" applyFont="1" applyFill="1" applyBorder="1" applyAlignment="1">
      <alignment horizontal="center" vertical="center"/>
    </xf>
    <xf numFmtId="0" fontId="0" fillId="3" borderId="50" xfId="0" applyFill="1" applyBorder="1"/>
    <xf numFmtId="0" fontId="0" fillId="3" borderId="50" xfId="0" applyFill="1" applyBorder="1" applyAlignment="1">
      <alignment horizontal="center"/>
    </xf>
    <xf numFmtId="0" fontId="29" fillId="2" borderId="1" xfId="0" applyFont="1" applyFill="1" applyBorder="1" applyAlignment="1">
      <alignment horizontal="center" vertical="center"/>
    </xf>
    <xf numFmtId="0" fontId="29" fillId="2" borderId="2" xfId="0" applyFont="1" applyFill="1" applyBorder="1" applyAlignment="1">
      <alignment horizontal="center" vertical="center"/>
    </xf>
    <xf numFmtId="0" fontId="29" fillId="2" borderId="3" xfId="0" applyFont="1" applyFill="1" applyBorder="1" applyAlignment="1">
      <alignment horizontal="center" vertical="center"/>
    </xf>
    <xf numFmtId="0" fontId="30" fillId="3" borderId="37" xfId="0" applyFont="1" applyFill="1" applyBorder="1" applyAlignment="1">
      <alignment horizontal="center"/>
    </xf>
    <xf numFmtId="0" fontId="31" fillId="3" borderId="37" xfId="0" applyFont="1" applyFill="1" applyBorder="1" applyAlignment="1">
      <alignment horizontal="center"/>
    </xf>
    <xf numFmtId="0" fontId="8" fillId="3" borderId="9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left" vertical="center"/>
    </xf>
    <xf numFmtId="0" fontId="32" fillId="3" borderId="17" xfId="0" applyFont="1" applyFill="1" applyBorder="1" applyAlignment="1">
      <alignment horizontal="left" vertical="center"/>
    </xf>
    <xf numFmtId="0" fontId="32" fillId="0" borderId="17" xfId="0" applyFont="1" applyBorder="1" applyAlignment="1">
      <alignment horizontal="left" vertical="center"/>
    </xf>
    <xf numFmtId="0" fontId="7" fillId="3" borderId="40" xfId="0" applyFont="1" applyFill="1" applyBorder="1" applyAlignment="1">
      <alignment horizontal="center" vertical="center"/>
    </xf>
    <xf numFmtId="0" fontId="15" fillId="3" borderId="60" xfId="0" applyFont="1" applyFill="1" applyBorder="1" applyAlignment="1">
      <alignment horizontal="center" vertical="center"/>
    </xf>
    <xf numFmtId="0" fontId="0" fillId="3" borderId="0" xfId="0" applyFill="1" applyBorder="1"/>
    <xf numFmtId="0" fontId="8" fillId="3" borderId="38" xfId="0" applyFont="1" applyFill="1" applyBorder="1" applyAlignment="1">
      <alignment horizontal="center" vertical="center"/>
    </xf>
    <xf numFmtId="0" fontId="7" fillId="3" borderId="36" xfId="0" applyFont="1" applyFill="1" applyBorder="1" applyAlignment="1">
      <alignment horizontal="left" vertical="center"/>
    </xf>
    <xf numFmtId="0" fontId="7" fillId="3" borderId="37" xfId="0" applyFont="1" applyFill="1" applyBorder="1" applyAlignment="1">
      <alignment horizontal="left" vertical="center"/>
    </xf>
    <xf numFmtId="0" fontId="7" fillId="3" borderId="21" xfId="0" applyFont="1" applyFill="1" applyBorder="1" applyAlignment="1">
      <alignment horizontal="left" vertical="center"/>
    </xf>
    <xf numFmtId="0" fontId="25" fillId="3" borderId="0" xfId="0" applyFont="1" applyFill="1" applyAlignment="1">
      <alignment horizontal="center" vertical="center" wrapText="1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7" fillId="3" borderId="28" xfId="0" applyFont="1" applyFill="1" applyBorder="1" applyAlignment="1">
      <alignment horizontal="left" vertical="center"/>
    </xf>
    <xf numFmtId="0" fontId="7" fillId="3" borderId="29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0" fillId="2" borderId="7" xfId="0" applyFill="1" applyBorder="1" applyAlignment="1">
      <alignment vertical="center"/>
    </xf>
    <xf numFmtId="0" fontId="29" fillId="2" borderId="39" xfId="0" applyFont="1" applyFill="1" applyBorder="1" applyAlignment="1">
      <alignment horizontal="center" vertical="center"/>
    </xf>
    <xf numFmtId="0" fontId="29" fillId="2" borderId="43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33" fillId="3" borderId="0" xfId="0" applyFont="1" applyFill="1" applyBorder="1" applyAlignment="1">
      <alignment horizontal="right" vertical="center"/>
    </xf>
    <xf numFmtId="0" fontId="7" fillId="3" borderId="32" xfId="0" applyFont="1" applyFill="1" applyBorder="1" applyAlignment="1">
      <alignment horizontal="left" vertical="center"/>
    </xf>
    <xf numFmtId="0" fontId="7" fillId="3" borderId="34" xfId="0" applyFont="1" applyFill="1" applyBorder="1" applyAlignment="1">
      <alignment horizontal="left" vertical="center"/>
    </xf>
    <xf numFmtId="0" fontId="7" fillId="3" borderId="18" xfId="0" applyFont="1" applyFill="1" applyBorder="1" applyAlignment="1">
      <alignment horizontal="left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35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center" vertical="center"/>
    </xf>
    <xf numFmtId="0" fontId="7" fillId="3" borderId="35" xfId="0" applyFont="1" applyFill="1" applyBorder="1" applyAlignment="1">
      <alignment horizontal="center" vertical="center"/>
    </xf>
    <xf numFmtId="0" fontId="7" fillId="3" borderId="24" xfId="0" applyFont="1" applyFill="1" applyBorder="1" applyAlignment="1">
      <alignment horizontal="left" vertical="center"/>
    </xf>
    <xf numFmtId="0" fontId="7" fillId="3" borderId="20" xfId="0" applyFont="1" applyFill="1" applyBorder="1" applyAlignment="1">
      <alignment horizontal="center" vertical="center"/>
    </xf>
    <xf numFmtId="0" fontId="7" fillId="3" borderId="24" xfId="0" applyFont="1" applyFill="1" applyBorder="1" applyAlignment="1">
      <alignment horizontal="center" vertical="center"/>
    </xf>
    <xf numFmtId="0" fontId="8" fillId="3" borderId="79" xfId="0" applyFont="1" applyFill="1" applyBorder="1" applyAlignment="1">
      <alignment horizontal="center" vertical="center"/>
    </xf>
    <xf numFmtId="0" fontId="7" fillId="3" borderId="62" xfId="0" applyFont="1" applyFill="1" applyBorder="1" applyAlignment="1">
      <alignment horizontal="left" vertical="center"/>
    </xf>
    <xf numFmtId="0" fontId="7" fillId="3" borderId="80" xfId="0" applyFont="1" applyFill="1" applyBorder="1" applyAlignment="1">
      <alignment horizontal="left" vertical="center"/>
    </xf>
    <xf numFmtId="0" fontId="7" fillId="3" borderId="30" xfId="0" applyFont="1" applyFill="1" applyBorder="1" applyAlignment="1">
      <alignment horizontal="left" vertical="center"/>
    </xf>
    <xf numFmtId="0" fontId="7" fillId="3" borderId="28" xfId="0" applyFont="1" applyFill="1" applyBorder="1" applyAlignment="1">
      <alignment horizontal="center" vertical="center"/>
    </xf>
    <xf numFmtId="0" fontId="7" fillId="3" borderId="52" xfId="0" applyFont="1" applyFill="1" applyBorder="1" applyAlignment="1">
      <alignment horizontal="center" vertical="center"/>
    </xf>
    <xf numFmtId="0" fontId="29" fillId="2" borderId="46" xfId="0" applyFont="1" applyFill="1" applyBorder="1" applyAlignment="1">
      <alignment horizontal="center" vertical="center"/>
    </xf>
    <xf numFmtId="0" fontId="0" fillId="2" borderId="81" xfId="0" applyFill="1" applyBorder="1" applyAlignment="1">
      <alignment vertical="center"/>
    </xf>
    <xf numFmtId="0" fontId="9" fillId="2" borderId="4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left"/>
    </xf>
    <xf numFmtId="0" fontId="9" fillId="3" borderId="23" xfId="0" applyFont="1" applyFill="1" applyBorder="1" applyAlignment="1">
      <alignment horizontal="left"/>
    </xf>
    <xf numFmtId="0" fontId="9" fillId="3" borderId="35" xfId="0" applyFont="1" applyFill="1" applyBorder="1" applyAlignment="1">
      <alignment horizontal="left"/>
    </xf>
    <xf numFmtId="0" fontId="34" fillId="3" borderId="22" xfId="0" applyNumberFormat="1" applyFont="1" applyFill="1" applyBorder="1" applyAlignment="1">
      <alignment horizontal="center"/>
    </xf>
    <xf numFmtId="0" fontId="34" fillId="3" borderId="35" xfId="0" applyNumberFormat="1" applyFont="1" applyFill="1" applyBorder="1" applyAlignment="1">
      <alignment horizontal="center"/>
    </xf>
    <xf numFmtId="1" fontId="5" fillId="2" borderId="1" xfId="0" applyNumberFormat="1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1"/>
  <sheetViews>
    <sheetView tabSelected="1" workbookViewId="0">
      <selection activeCell="K14" sqref="K14"/>
    </sheetView>
  </sheetViews>
  <sheetFormatPr defaultRowHeight="15"/>
  <cols>
    <col min="1" max="1" width="5" bestFit="1" customWidth="1"/>
    <col min="2" max="2" width="31.5703125" customWidth="1"/>
    <col min="3" max="3" width="5.7109375" customWidth="1"/>
  </cols>
  <sheetData>
    <row r="1" spans="1:21" ht="15.75" thickBo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spans="1:21" ht="19.5" thickBo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>
        <v>46265</v>
      </c>
      <c r="O2" s="6"/>
      <c r="P2" s="6"/>
      <c r="Q2" s="6"/>
      <c r="R2" s="6"/>
      <c r="S2" s="6"/>
      <c r="T2" s="6"/>
      <c r="U2" s="7"/>
    </row>
    <row r="3" spans="1:21" ht="19.5" thickBot="1">
      <c r="A3" s="8"/>
      <c r="B3" s="9"/>
      <c r="C3" s="10"/>
      <c r="D3" s="11" t="s">
        <v>2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3"/>
    </row>
    <row r="4" spans="1:21">
      <c r="A4" s="14" t="s">
        <v>3</v>
      </c>
      <c r="B4" s="15" t="s">
        <v>4</v>
      </c>
      <c r="C4" s="16"/>
      <c r="D4" s="17" t="s">
        <v>5</v>
      </c>
      <c r="E4" s="17" t="s">
        <v>6</v>
      </c>
      <c r="F4" s="18" t="s">
        <v>7</v>
      </c>
      <c r="G4" s="18" t="s">
        <v>8</v>
      </c>
      <c r="H4" s="18" t="s">
        <v>9</v>
      </c>
      <c r="I4" s="18" t="s">
        <v>10</v>
      </c>
      <c r="J4" s="18" t="s">
        <v>11</v>
      </c>
      <c r="K4" s="18" t="s">
        <v>12</v>
      </c>
      <c r="L4" s="18" t="s">
        <v>13</v>
      </c>
      <c r="M4" s="18" t="s">
        <v>14</v>
      </c>
      <c r="N4" s="18" t="s">
        <v>15</v>
      </c>
      <c r="O4" s="18" t="s">
        <v>16</v>
      </c>
      <c r="P4" s="19" t="s">
        <v>17</v>
      </c>
      <c r="Q4" s="20" t="s">
        <v>18</v>
      </c>
      <c r="R4" s="21" t="s">
        <v>19</v>
      </c>
      <c r="S4" s="22" t="s">
        <v>20</v>
      </c>
      <c r="T4" s="23" t="s">
        <v>21</v>
      </c>
      <c r="U4" s="24"/>
    </row>
    <row r="5" spans="1:21" ht="15.75" thickBot="1">
      <c r="A5" s="25"/>
      <c r="B5" s="26"/>
      <c r="C5" s="27"/>
      <c r="D5" s="28" t="s">
        <v>22</v>
      </c>
      <c r="E5" s="28" t="s">
        <v>23</v>
      </c>
      <c r="F5" s="28" t="s">
        <v>24</v>
      </c>
      <c r="G5" s="28" t="s">
        <v>24</v>
      </c>
      <c r="H5" s="28" t="s">
        <v>24</v>
      </c>
      <c r="I5" s="28" t="s">
        <v>24</v>
      </c>
      <c r="J5" s="29" t="s">
        <v>24</v>
      </c>
      <c r="K5" s="29" t="s">
        <v>24</v>
      </c>
      <c r="L5" s="29" t="s">
        <v>24</v>
      </c>
      <c r="M5" s="29" t="s">
        <v>24</v>
      </c>
      <c r="N5" s="28" t="s">
        <v>24</v>
      </c>
      <c r="O5" s="28" t="s">
        <v>24</v>
      </c>
      <c r="P5" s="28" t="s">
        <v>24</v>
      </c>
      <c r="Q5" s="30" t="s">
        <v>25</v>
      </c>
      <c r="R5" s="28" t="s">
        <v>26</v>
      </c>
      <c r="S5" s="29" t="s">
        <v>26</v>
      </c>
      <c r="T5" s="31" t="s">
        <v>26</v>
      </c>
      <c r="U5" s="32"/>
    </row>
    <row r="6" spans="1:21" ht="15.75" thickBot="1">
      <c r="A6" s="33" t="s">
        <v>27</v>
      </c>
      <c r="B6" s="34"/>
      <c r="C6" s="35"/>
      <c r="D6" s="36">
        <v>0</v>
      </c>
      <c r="E6" s="36">
        <v>0</v>
      </c>
      <c r="F6" s="36">
        <v>475901</v>
      </c>
      <c r="G6" s="37">
        <v>426545</v>
      </c>
      <c r="H6" s="36">
        <v>456984</v>
      </c>
      <c r="I6" s="36">
        <v>280858</v>
      </c>
      <c r="J6" s="38">
        <v>606169</v>
      </c>
      <c r="K6" s="38">
        <v>0</v>
      </c>
      <c r="L6" s="38">
        <v>0</v>
      </c>
      <c r="M6" s="36">
        <v>31799</v>
      </c>
      <c r="N6" s="38">
        <v>0</v>
      </c>
      <c r="O6" s="36">
        <v>6000</v>
      </c>
      <c r="P6" s="39">
        <v>0</v>
      </c>
      <c r="Q6" s="36">
        <v>166960</v>
      </c>
      <c r="R6" s="39">
        <v>701385</v>
      </c>
      <c r="S6" s="39">
        <v>3152601</v>
      </c>
      <c r="T6" s="33">
        <v>6884090</v>
      </c>
      <c r="U6" s="40"/>
    </row>
    <row r="7" spans="1:21" ht="9.75" customHeight="1" thickBot="1">
      <c r="A7" s="41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3"/>
    </row>
    <row r="8" spans="1:21">
      <c r="A8" s="44" t="s">
        <v>28</v>
      </c>
      <c r="B8" s="45" t="s">
        <v>29</v>
      </c>
      <c r="C8" s="46"/>
      <c r="D8" s="47">
        <v>0</v>
      </c>
      <c r="E8" s="44">
        <v>100</v>
      </c>
      <c r="F8" s="48">
        <v>3400000</v>
      </c>
      <c r="G8" s="44">
        <v>6930000</v>
      </c>
      <c r="H8" s="48">
        <v>2483900</v>
      </c>
      <c r="I8" s="44">
        <v>1880000</v>
      </c>
      <c r="J8" s="48">
        <v>15279900</v>
      </c>
      <c r="K8" s="44">
        <v>0</v>
      </c>
      <c r="L8" s="48">
        <v>0</v>
      </c>
      <c r="M8" s="44">
        <v>0</v>
      </c>
      <c r="N8" s="48">
        <v>0</v>
      </c>
      <c r="O8" s="44">
        <v>0</v>
      </c>
      <c r="P8" s="48">
        <v>0</v>
      </c>
      <c r="Q8" s="44">
        <v>37660</v>
      </c>
      <c r="R8" s="48">
        <v>20500</v>
      </c>
      <c r="S8" s="49">
        <f>SUM(S21)</f>
        <v>1165439</v>
      </c>
      <c r="T8" s="50">
        <v>73750</v>
      </c>
      <c r="U8" s="51"/>
    </row>
    <row r="9" spans="1:21">
      <c r="A9" s="52" t="s">
        <v>30</v>
      </c>
      <c r="B9" s="53" t="s">
        <v>31</v>
      </c>
      <c r="C9" s="54"/>
      <c r="D9" s="55">
        <f>SUM(D6:D8)</f>
        <v>0</v>
      </c>
      <c r="E9" s="52">
        <f>SUM(E6:E8)</f>
        <v>100</v>
      </c>
      <c r="F9" s="56">
        <f>SUM(F6+F8)</f>
        <v>3875901</v>
      </c>
      <c r="G9" s="52">
        <f t="shared" ref="G9:Q9" si="0">SUM(G6+G8)</f>
        <v>7356545</v>
      </c>
      <c r="H9" s="56">
        <f t="shared" si="0"/>
        <v>2940884</v>
      </c>
      <c r="I9" s="52">
        <f t="shared" si="0"/>
        <v>2160858</v>
      </c>
      <c r="J9" s="56">
        <f t="shared" si="0"/>
        <v>15886069</v>
      </c>
      <c r="K9" s="52">
        <f t="shared" si="0"/>
        <v>0</v>
      </c>
      <c r="L9" s="56">
        <f t="shared" si="0"/>
        <v>0</v>
      </c>
      <c r="M9" s="52">
        <f t="shared" si="0"/>
        <v>31799</v>
      </c>
      <c r="N9" s="56">
        <f t="shared" si="0"/>
        <v>0</v>
      </c>
      <c r="O9" s="52">
        <f>SUM(O6+O8)</f>
        <v>6000</v>
      </c>
      <c r="P9" s="56">
        <f t="shared" si="0"/>
        <v>0</v>
      </c>
      <c r="Q9" s="52">
        <f t="shared" si="0"/>
        <v>204620</v>
      </c>
      <c r="R9" s="56">
        <f>SUM(R6+R8)</f>
        <v>721885</v>
      </c>
      <c r="S9" s="52">
        <f>SUM(S6+S8)</f>
        <v>4318040</v>
      </c>
      <c r="T9" s="57">
        <f>SUM(T6:T8)</f>
        <v>6957840</v>
      </c>
      <c r="U9" s="58"/>
    </row>
    <row r="10" spans="1:21" ht="15.75" thickBot="1">
      <c r="A10" s="59" t="s">
        <v>32</v>
      </c>
      <c r="B10" s="60" t="s">
        <v>33</v>
      </c>
      <c r="C10" s="61"/>
      <c r="D10" s="62">
        <f>SUM(D9-D12)</f>
        <v>0</v>
      </c>
      <c r="E10" s="59">
        <f>SUM(E9-E12)</f>
        <v>100</v>
      </c>
      <c r="F10" s="63">
        <f>SUM(F9-F12)</f>
        <v>3578960</v>
      </c>
      <c r="G10" s="59">
        <f>SUM(G9-G12)</f>
        <v>7255261</v>
      </c>
      <c r="H10" s="63">
        <f>SUM(H9-H12)</f>
        <v>3026988</v>
      </c>
      <c r="I10" s="59">
        <f t="shared" ref="I10:O10" si="1">SUM(I9-I12)</f>
        <v>1996432</v>
      </c>
      <c r="J10" s="63">
        <f t="shared" si="1"/>
        <v>14660000</v>
      </c>
      <c r="K10" s="59">
        <f>SUM(K9-K12)</f>
        <v>0</v>
      </c>
      <c r="L10" s="63">
        <f t="shared" si="1"/>
        <v>0</v>
      </c>
      <c r="M10" s="59">
        <f>SUM(M9-M12)</f>
        <v>0</v>
      </c>
      <c r="N10" s="63">
        <f>SUM(N9-N12)</f>
        <v>0</v>
      </c>
      <c r="O10" s="59">
        <f t="shared" si="1"/>
        <v>0</v>
      </c>
      <c r="P10" s="63">
        <f>SUM(P9-P12)</f>
        <v>0</v>
      </c>
      <c r="Q10" s="59">
        <f>SUM(Q9-Q12)</f>
        <v>0</v>
      </c>
      <c r="R10" s="63">
        <f>SUM(R9-R12)</f>
        <v>2500</v>
      </c>
      <c r="S10" s="59">
        <f>SUM(S9-S12)</f>
        <v>1653620</v>
      </c>
      <c r="T10" s="64">
        <f>SUM(T9-T12)</f>
        <v>308500</v>
      </c>
      <c r="U10" s="65"/>
    </row>
    <row r="11" spans="1:21" ht="11.25" customHeight="1" thickBot="1">
      <c r="A11" s="66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8"/>
    </row>
    <row r="12" spans="1:21" ht="15.75" thickBot="1">
      <c r="A12" s="33" t="s">
        <v>34</v>
      </c>
      <c r="B12" s="34"/>
      <c r="C12" s="35"/>
      <c r="D12" s="39">
        <v>0</v>
      </c>
      <c r="E12" s="39">
        <v>0</v>
      </c>
      <c r="F12" s="36">
        <v>296941</v>
      </c>
      <c r="G12" s="69">
        <v>101284</v>
      </c>
      <c r="H12" s="69">
        <v>-86104</v>
      </c>
      <c r="I12" s="69">
        <v>164426</v>
      </c>
      <c r="J12" s="69">
        <v>1226069</v>
      </c>
      <c r="K12" s="69">
        <v>0</v>
      </c>
      <c r="L12" s="69">
        <v>0</v>
      </c>
      <c r="M12" s="70">
        <v>31799</v>
      </c>
      <c r="N12" s="36">
        <v>0</v>
      </c>
      <c r="O12" s="39">
        <v>6000</v>
      </c>
      <c r="P12" s="39">
        <v>0</v>
      </c>
      <c r="Q12" s="69">
        <v>204620</v>
      </c>
      <c r="R12" s="39">
        <f>SUM(H34)</f>
        <v>719385</v>
      </c>
      <c r="S12" s="39">
        <f>SUM(D12*975+E12*339+F12+G12+H12+I12+J12+K12+L12+M12+N12+O12+P12+Q12+R12)</f>
        <v>2664420</v>
      </c>
      <c r="T12" s="33">
        <f>SUM(H21)</f>
        <v>6649340</v>
      </c>
      <c r="U12" s="35"/>
    </row>
    <row r="13" spans="1:21" ht="15.75" thickBot="1">
      <c r="A13" s="71"/>
      <c r="B13" s="71"/>
      <c r="C13" s="71"/>
      <c r="D13" s="71"/>
      <c r="E13" s="71"/>
      <c r="F13" s="71"/>
      <c r="G13" s="71"/>
      <c r="H13" s="71"/>
      <c r="I13" s="71"/>
      <c r="J13" s="72"/>
      <c r="K13" s="72"/>
      <c r="L13" s="71"/>
      <c r="M13" s="71"/>
      <c r="N13" s="71"/>
      <c r="O13" s="71"/>
      <c r="P13" s="71"/>
      <c r="Q13" s="71"/>
      <c r="R13" s="71"/>
      <c r="S13" s="71"/>
      <c r="T13" s="71"/>
      <c r="U13" s="71"/>
    </row>
    <row r="14" spans="1:21" ht="16.5" thickBot="1">
      <c r="A14" s="73" t="s">
        <v>35</v>
      </c>
      <c r="B14" s="74" t="s">
        <v>36</v>
      </c>
      <c r="C14" s="75"/>
      <c r="D14" s="75"/>
      <c r="E14" s="75"/>
      <c r="F14" s="75"/>
      <c r="G14" s="76"/>
      <c r="H14" s="74" t="s">
        <v>26</v>
      </c>
      <c r="I14" s="77"/>
      <c r="J14" s="78"/>
      <c r="K14" s="79"/>
      <c r="L14" s="78"/>
      <c r="M14" s="80" t="s">
        <v>37</v>
      </c>
      <c r="N14" s="81"/>
      <c r="O14" s="81"/>
      <c r="P14" s="81"/>
      <c r="Q14" s="81"/>
      <c r="R14" s="82"/>
      <c r="S14" s="83" t="s">
        <v>26</v>
      </c>
      <c r="T14" s="84"/>
      <c r="U14" s="85"/>
    </row>
    <row r="15" spans="1:21">
      <c r="A15" s="86" t="s">
        <v>28</v>
      </c>
      <c r="B15" s="87" t="s">
        <v>38</v>
      </c>
      <c r="C15" s="88"/>
      <c r="D15" s="88"/>
      <c r="E15" s="88"/>
      <c r="F15" s="88"/>
      <c r="G15" s="89"/>
      <c r="H15" s="90">
        <v>5220410</v>
      </c>
      <c r="I15" s="91"/>
      <c r="J15" s="92"/>
      <c r="K15" s="71"/>
      <c r="L15" s="93"/>
      <c r="M15" s="94" t="s">
        <v>39</v>
      </c>
      <c r="N15" s="95"/>
      <c r="O15" s="95"/>
      <c r="P15" s="95"/>
      <c r="Q15" s="95"/>
      <c r="R15" s="95"/>
      <c r="S15" s="96">
        <v>638223</v>
      </c>
      <c r="T15" s="97"/>
      <c r="U15" s="98"/>
    </row>
    <row r="16" spans="1:21">
      <c r="A16" s="99" t="s">
        <v>30</v>
      </c>
      <c r="B16" s="100" t="s">
        <v>40</v>
      </c>
      <c r="C16" s="101"/>
      <c r="D16" s="101"/>
      <c r="E16" s="101"/>
      <c r="F16" s="101"/>
      <c r="G16" s="102"/>
      <c r="H16" s="103">
        <v>800000</v>
      </c>
      <c r="I16" s="104"/>
      <c r="J16" s="71"/>
      <c r="K16" s="71"/>
      <c r="L16" s="71"/>
      <c r="M16" s="105" t="s">
        <v>41</v>
      </c>
      <c r="N16" s="106"/>
      <c r="O16" s="106"/>
      <c r="P16" s="106"/>
      <c r="Q16" s="106"/>
      <c r="R16" s="106"/>
      <c r="S16" s="107">
        <v>211074</v>
      </c>
      <c r="T16" s="108"/>
      <c r="U16" s="109"/>
    </row>
    <row r="17" spans="1:21">
      <c r="A17" s="110" t="s">
        <v>32</v>
      </c>
      <c r="B17" s="100" t="s">
        <v>42</v>
      </c>
      <c r="C17" s="101"/>
      <c r="D17" s="101"/>
      <c r="E17" s="101"/>
      <c r="F17" s="101"/>
      <c r="G17" s="102"/>
      <c r="H17" s="103">
        <v>191500</v>
      </c>
      <c r="I17" s="104"/>
      <c r="J17" s="111"/>
      <c r="K17" s="111"/>
      <c r="L17" s="111"/>
      <c r="M17" s="105" t="s">
        <v>42</v>
      </c>
      <c r="N17" s="106"/>
      <c r="O17" s="106"/>
      <c r="P17" s="106"/>
      <c r="Q17" s="106"/>
      <c r="R17" s="106"/>
      <c r="S17" s="107">
        <v>191500</v>
      </c>
      <c r="T17" s="108"/>
      <c r="U17" s="109"/>
    </row>
    <row r="18" spans="1:21">
      <c r="A18" s="110" t="s">
        <v>43</v>
      </c>
      <c r="B18" s="100" t="s">
        <v>44</v>
      </c>
      <c r="C18" s="101"/>
      <c r="D18" s="101"/>
      <c r="E18" s="101"/>
      <c r="F18" s="101"/>
      <c r="G18" s="102"/>
      <c r="H18" s="103">
        <v>156000</v>
      </c>
      <c r="I18" s="104"/>
      <c r="J18" s="111"/>
      <c r="K18" s="111"/>
      <c r="L18" s="111"/>
      <c r="M18" s="105" t="s">
        <v>45</v>
      </c>
      <c r="N18" s="106"/>
      <c r="O18" s="106"/>
      <c r="P18" s="106"/>
      <c r="Q18" s="106"/>
      <c r="R18" s="106"/>
      <c r="S18" s="107">
        <v>34392</v>
      </c>
      <c r="T18" s="108"/>
      <c r="U18" s="109"/>
    </row>
    <row r="19" spans="1:21">
      <c r="A19" s="110" t="s">
        <v>46</v>
      </c>
      <c r="B19" s="100" t="s">
        <v>47</v>
      </c>
      <c r="C19" s="101"/>
      <c r="D19" s="101"/>
      <c r="E19" s="101"/>
      <c r="F19" s="101"/>
      <c r="G19" s="102"/>
      <c r="H19" s="103">
        <v>221250</v>
      </c>
      <c r="I19" s="104"/>
      <c r="J19" s="111"/>
      <c r="K19" s="111"/>
      <c r="L19" s="111"/>
      <c r="M19" s="112" t="s">
        <v>48</v>
      </c>
      <c r="N19" s="113"/>
      <c r="O19" s="113"/>
      <c r="P19" s="113"/>
      <c r="Q19" s="113"/>
      <c r="R19" s="114"/>
      <c r="S19" s="107">
        <v>16500</v>
      </c>
      <c r="T19" s="108"/>
      <c r="U19" s="109"/>
    </row>
    <row r="20" spans="1:21" ht="15.75" thickBot="1">
      <c r="A20" s="110" t="s">
        <v>49</v>
      </c>
      <c r="B20" s="100" t="s">
        <v>50</v>
      </c>
      <c r="C20" s="101"/>
      <c r="D20" s="101"/>
      <c r="E20" s="101"/>
      <c r="F20" s="101"/>
      <c r="G20" s="102"/>
      <c r="H20" s="103">
        <v>60180</v>
      </c>
      <c r="I20" s="104"/>
      <c r="J20" s="111"/>
      <c r="K20" s="111"/>
      <c r="L20" s="111"/>
      <c r="M20" s="112" t="s">
        <v>51</v>
      </c>
      <c r="N20" s="113"/>
      <c r="O20" s="113"/>
      <c r="P20" s="113"/>
      <c r="Q20" s="113"/>
      <c r="R20" s="114"/>
      <c r="S20" s="107">
        <v>73750</v>
      </c>
      <c r="T20" s="108"/>
      <c r="U20" s="109"/>
    </row>
    <row r="21" spans="1:21" ht="19.5" thickBot="1">
      <c r="A21" s="115" t="s">
        <v>52</v>
      </c>
      <c r="B21" s="116"/>
      <c r="C21" s="116"/>
      <c r="D21" s="116"/>
      <c r="E21" s="116"/>
      <c r="F21" s="116"/>
      <c r="G21" s="117"/>
      <c r="H21" s="118">
        <f>SUM(H15:I20)</f>
        <v>6649340</v>
      </c>
      <c r="I21" s="119"/>
      <c r="J21" s="120"/>
      <c r="K21" s="120"/>
      <c r="L21" s="120"/>
      <c r="M21" s="121" t="s">
        <v>20</v>
      </c>
      <c r="N21" s="122"/>
      <c r="O21" s="122"/>
      <c r="P21" s="122"/>
      <c r="Q21" s="122"/>
      <c r="R21" s="123"/>
      <c r="S21" s="124">
        <f>SUM(S15:U20)</f>
        <v>1165439</v>
      </c>
      <c r="T21" s="125"/>
      <c r="U21" s="126"/>
    </row>
    <row r="22" spans="1:21" ht="19.5" thickBot="1">
      <c r="A22" s="127"/>
      <c r="B22" s="127"/>
      <c r="C22" s="128"/>
      <c r="D22" s="129"/>
      <c r="E22" s="129"/>
      <c r="F22" s="129"/>
      <c r="G22" s="129"/>
      <c r="H22" s="130"/>
      <c r="I22" s="130"/>
      <c r="J22" s="131"/>
      <c r="K22" s="131"/>
      <c r="L22" s="131"/>
      <c r="M22" s="71"/>
      <c r="N22" s="71"/>
      <c r="O22" s="71"/>
      <c r="P22" s="71"/>
      <c r="Q22" s="71"/>
      <c r="R22" s="71"/>
      <c r="S22" s="71"/>
      <c r="T22" s="71"/>
      <c r="U22" s="71"/>
    </row>
    <row r="23" spans="1:21" ht="16.5" thickBot="1">
      <c r="A23" s="73" t="s">
        <v>35</v>
      </c>
      <c r="B23" s="74" t="s">
        <v>53</v>
      </c>
      <c r="C23" s="132"/>
      <c r="D23" s="132"/>
      <c r="E23" s="132"/>
      <c r="F23" s="132"/>
      <c r="G23" s="133"/>
      <c r="H23" s="74" t="s">
        <v>26</v>
      </c>
      <c r="I23" s="77"/>
      <c r="J23" s="71"/>
      <c r="K23" s="71"/>
      <c r="L23" s="71"/>
      <c r="M23" s="71"/>
      <c r="N23" s="83" t="s">
        <v>54</v>
      </c>
      <c r="O23" s="84"/>
      <c r="P23" s="84"/>
      <c r="Q23" s="84"/>
      <c r="R23" s="84"/>
      <c r="S23" s="85"/>
      <c r="T23" s="71"/>
      <c r="U23" s="71"/>
    </row>
    <row r="24" spans="1:21" ht="15.75" thickBot="1">
      <c r="A24" s="86" t="s">
        <v>28</v>
      </c>
      <c r="B24" s="134" t="s">
        <v>55</v>
      </c>
      <c r="C24" s="88"/>
      <c r="D24" s="88"/>
      <c r="E24" s="88"/>
      <c r="F24" s="88"/>
      <c r="G24" s="89"/>
      <c r="H24" s="135">
        <v>53595</v>
      </c>
      <c r="I24" s="136"/>
      <c r="J24" s="71"/>
      <c r="K24" s="71"/>
      <c r="L24" s="71"/>
      <c r="M24" s="71"/>
      <c r="N24" s="137" t="s">
        <v>56</v>
      </c>
      <c r="O24" s="138"/>
      <c r="P24" s="139" t="s">
        <v>57</v>
      </c>
      <c r="Q24" s="139"/>
      <c r="R24" s="138" t="s">
        <v>58</v>
      </c>
      <c r="S24" s="140"/>
      <c r="T24" s="71"/>
      <c r="U24" s="71"/>
    </row>
    <row r="25" spans="1:21" ht="15.75" thickBot="1">
      <c r="A25" s="141" t="s">
        <v>30</v>
      </c>
      <c r="B25" s="142" t="s">
        <v>59</v>
      </c>
      <c r="C25" s="101"/>
      <c r="D25" s="101"/>
      <c r="E25" s="101"/>
      <c r="F25" s="101"/>
      <c r="G25" s="102"/>
      <c r="H25" s="143">
        <v>177847</v>
      </c>
      <c r="I25" s="144"/>
      <c r="J25" s="71"/>
      <c r="K25" s="71"/>
      <c r="L25" s="71"/>
      <c r="M25" s="71"/>
      <c r="N25" s="145">
        <v>18491589</v>
      </c>
      <c r="O25" s="146"/>
      <c r="P25" s="146">
        <v>15718424</v>
      </c>
      <c r="Q25" s="146"/>
      <c r="R25" s="147">
        <v>85</v>
      </c>
      <c r="S25" s="148" t="s">
        <v>60</v>
      </c>
      <c r="T25" s="71"/>
      <c r="U25" s="71"/>
    </row>
    <row r="26" spans="1:21">
      <c r="A26" s="141" t="s">
        <v>32</v>
      </c>
      <c r="B26" s="142" t="s">
        <v>61</v>
      </c>
      <c r="C26" s="101"/>
      <c r="D26" s="101"/>
      <c r="E26" s="101"/>
      <c r="F26" s="101"/>
      <c r="G26" s="102"/>
      <c r="H26" s="143">
        <v>41000</v>
      </c>
      <c r="I26" s="144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</row>
    <row r="27" spans="1:21">
      <c r="A27" s="99" t="s">
        <v>43</v>
      </c>
      <c r="B27" s="142" t="s">
        <v>62</v>
      </c>
      <c r="C27" s="101"/>
      <c r="D27" s="101"/>
      <c r="E27" s="101"/>
      <c r="F27" s="101"/>
      <c r="G27" s="102"/>
      <c r="H27" s="143">
        <v>11000</v>
      </c>
      <c r="I27" s="144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</row>
    <row r="28" spans="1:21">
      <c r="A28" s="141" t="s">
        <v>46</v>
      </c>
      <c r="B28" s="142" t="s">
        <v>63</v>
      </c>
      <c r="C28" s="101"/>
      <c r="D28" s="101"/>
      <c r="E28" s="101"/>
      <c r="F28" s="101"/>
      <c r="G28" s="102"/>
      <c r="H28" s="149">
        <v>57774</v>
      </c>
      <c r="I28" s="150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</row>
    <row r="29" spans="1:21">
      <c r="A29" s="99" t="s">
        <v>49</v>
      </c>
      <c r="B29" s="142" t="s">
        <v>64</v>
      </c>
      <c r="C29" s="101"/>
      <c r="D29" s="101"/>
      <c r="E29" s="101"/>
      <c r="F29" s="101"/>
      <c r="G29" s="102"/>
      <c r="H29" s="143">
        <v>44300</v>
      </c>
      <c r="I29" s="144"/>
      <c r="J29" s="71"/>
      <c r="K29" s="71"/>
      <c r="L29" s="71"/>
      <c r="M29" s="151"/>
      <c r="N29" s="71"/>
      <c r="O29" s="71"/>
      <c r="P29" s="71"/>
      <c r="Q29" s="71"/>
      <c r="R29" s="71"/>
      <c r="S29" s="71"/>
      <c r="T29" s="71"/>
      <c r="U29" s="71"/>
    </row>
    <row r="30" spans="1:21">
      <c r="A30" s="99" t="s">
        <v>65</v>
      </c>
      <c r="B30" s="142" t="s">
        <v>66</v>
      </c>
      <c r="C30" s="152"/>
      <c r="D30" s="152"/>
      <c r="E30" s="152"/>
      <c r="F30" s="152"/>
      <c r="G30" s="153"/>
      <c r="H30" s="143">
        <v>270023</v>
      </c>
      <c r="I30" s="144"/>
      <c r="J30" s="71"/>
      <c r="K30" s="71"/>
      <c r="L30" s="71"/>
      <c r="M30" s="154"/>
      <c r="N30" s="71"/>
      <c r="O30" s="71"/>
      <c r="P30" s="71"/>
      <c r="Q30" s="71"/>
      <c r="R30" s="71"/>
      <c r="S30" s="71"/>
      <c r="T30" s="71"/>
      <c r="U30" s="71"/>
    </row>
    <row r="31" spans="1:21">
      <c r="A31" s="141" t="s">
        <v>67</v>
      </c>
      <c r="B31" s="142" t="s">
        <v>68</v>
      </c>
      <c r="C31" s="152"/>
      <c r="D31" s="152"/>
      <c r="E31" s="152"/>
      <c r="F31" s="152"/>
      <c r="G31" s="153"/>
      <c r="H31" s="143">
        <v>18846</v>
      </c>
      <c r="I31" s="144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</row>
    <row r="32" spans="1:21">
      <c r="A32" s="141" t="s">
        <v>69</v>
      </c>
      <c r="B32" s="142" t="s">
        <v>70</v>
      </c>
      <c r="C32" s="152"/>
      <c r="D32" s="152"/>
      <c r="E32" s="152"/>
      <c r="F32" s="152"/>
      <c r="G32" s="153"/>
      <c r="H32" s="143">
        <v>41000</v>
      </c>
      <c r="I32" s="144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</row>
    <row r="33" spans="1:21" ht="15.75" thickBot="1">
      <c r="A33" s="141" t="s">
        <v>71</v>
      </c>
      <c r="B33" s="155" t="s">
        <v>72</v>
      </c>
      <c r="C33" s="156"/>
      <c r="D33" s="156"/>
      <c r="E33" s="156"/>
      <c r="F33" s="156"/>
      <c r="G33" s="157"/>
      <c r="H33" s="143">
        <v>4000</v>
      </c>
      <c r="I33" s="144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</row>
    <row r="34" spans="1:21" ht="19.5" thickBot="1">
      <c r="A34" s="158" t="s">
        <v>52</v>
      </c>
      <c r="B34" s="159"/>
      <c r="C34" s="159"/>
      <c r="D34" s="159"/>
      <c r="E34" s="159"/>
      <c r="F34" s="159"/>
      <c r="G34" s="160"/>
      <c r="H34" s="158">
        <f>SUM(H24:I33)</f>
        <v>719385</v>
      </c>
      <c r="I34" s="160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</row>
    <row r="35" spans="1:21" ht="6" customHeight="1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</row>
    <row r="36" spans="1:21" ht="9" customHeight="1">
      <c r="A36" s="71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</row>
    <row r="37" spans="1:21" ht="15.75" thickBot="1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</row>
    <row r="38" spans="1:21" ht="13.5" customHeight="1">
      <c r="A38" s="161" t="s">
        <v>73</v>
      </c>
      <c r="B38" s="162"/>
      <c r="C38" s="162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162"/>
      <c r="Q38" s="162"/>
      <c r="R38" s="162"/>
      <c r="S38" s="163"/>
      <c r="T38" s="71"/>
      <c r="U38" s="71"/>
    </row>
    <row r="39" spans="1:21" ht="11.25" customHeight="1" thickBot="1">
      <c r="A39" s="164"/>
      <c r="B39" s="165"/>
      <c r="C39" s="165"/>
      <c r="D39" s="165"/>
      <c r="E39" s="165"/>
      <c r="F39" s="165"/>
      <c r="G39" s="165"/>
      <c r="H39" s="165"/>
      <c r="I39" s="165"/>
      <c r="J39" s="165"/>
      <c r="K39" s="165"/>
      <c r="L39" s="165"/>
      <c r="M39" s="165"/>
      <c r="N39" s="165"/>
      <c r="O39" s="165"/>
      <c r="P39" s="165"/>
      <c r="Q39" s="165"/>
      <c r="R39" s="165"/>
      <c r="S39" s="166"/>
      <c r="T39" s="71"/>
      <c r="U39" s="71"/>
    </row>
    <row r="40" spans="1:21" ht="15.75" thickBot="1">
      <c r="A40" s="167" t="s">
        <v>74</v>
      </c>
      <c r="B40" s="167" t="s">
        <v>75</v>
      </c>
      <c r="C40" s="168" t="s">
        <v>76</v>
      </c>
      <c r="D40" s="169"/>
      <c r="E40" s="169"/>
      <c r="F40" s="169"/>
      <c r="G40" s="169"/>
      <c r="H40" s="170"/>
      <c r="I40" s="168" t="s">
        <v>77</v>
      </c>
      <c r="J40" s="169"/>
      <c r="K40" s="169"/>
      <c r="L40" s="169"/>
      <c r="M40" s="170"/>
      <c r="N40" s="168" t="s">
        <v>78</v>
      </c>
      <c r="O40" s="169"/>
      <c r="P40" s="169"/>
      <c r="Q40" s="169"/>
      <c r="R40" s="169"/>
      <c r="S40" s="170"/>
      <c r="T40" s="171"/>
      <c r="U40" s="71"/>
    </row>
    <row r="41" spans="1:21">
      <c r="A41" s="86" t="s">
        <v>28</v>
      </c>
      <c r="B41" s="172" t="s">
        <v>79</v>
      </c>
      <c r="C41" s="173">
        <f>SUM(R82+R71)</f>
        <v>252324</v>
      </c>
      <c r="D41" s="174"/>
      <c r="E41" s="174"/>
      <c r="F41" s="174"/>
      <c r="G41" s="174"/>
      <c r="H41" s="175"/>
      <c r="I41" s="176">
        <v>246728</v>
      </c>
      <c r="J41" s="177"/>
      <c r="K41" s="177"/>
      <c r="L41" s="177"/>
      <c r="M41" s="178"/>
      <c r="N41" s="179">
        <f t="shared" ref="N41:N58" si="2">SUM(C41:M41)</f>
        <v>499052</v>
      </c>
      <c r="O41" s="180"/>
      <c r="P41" s="180"/>
      <c r="Q41" s="180"/>
      <c r="R41" s="180"/>
      <c r="S41" s="181"/>
      <c r="T41" s="71"/>
      <c r="U41" s="71"/>
    </row>
    <row r="42" spans="1:21">
      <c r="A42" s="99" t="s">
        <v>30</v>
      </c>
      <c r="B42" s="182" t="s">
        <v>80</v>
      </c>
      <c r="C42" s="183">
        <f>SUM(Q107)</f>
        <v>339700</v>
      </c>
      <c r="D42" s="184"/>
      <c r="E42" s="184"/>
      <c r="F42" s="184"/>
      <c r="G42" s="184"/>
      <c r="H42" s="185"/>
      <c r="I42" s="186">
        <v>377850</v>
      </c>
      <c r="J42" s="187"/>
      <c r="K42" s="187"/>
      <c r="L42" s="187"/>
      <c r="M42" s="188"/>
      <c r="N42" s="189">
        <f t="shared" ref="N42" si="3">SUM(C42:M42)</f>
        <v>717550</v>
      </c>
      <c r="O42" s="190"/>
      <c r="P42" s="190"/>
      <c r="Q42" s="190"/>
      <c r="R42" s="190"/>
      <c r="S42" s="191"/>
      <c r="T42" s="71"/>
      <c r="U42" s="71"/>
    </row>
    <row r="43" spans="1:21">
      <c r="A43" s="99" t="s">
        <v>32</v>
      </c>
      <c r="B43" s="192" t="s">
        <v>81</v>
      </c>
      <c r="C43" s="193">
        <f>SUM(L122)</f>
        <v>15460</v>
      </c>
      <c r="D43" s="194"/>
      <c r="E43" s="194"/>
      <c r="F43" s="194"/>
      <c r="G43" s="194"/>
      <c r="H43" s="195"/>
      <c r="I43" s="196">
        <v>18920</v>
      </c>
      <c r="J43" s="197"/>
      <c r="K43" s="197"/>
      <c r="L43" s="197"/>
      <c r="M43" s="198"/>
      <c r="N43" s="189">
        <f t="shared" si="2"/>
        <v>34380</v>
      </c>
      <c r="O43" s="190"/>
      <c r="P43" s="190"/>
      <c r="Q43" s="190"/>
      <c r="R43" s="190"/>
      <c r="S43" s="191"/>
      <c r="T43" s="71"/>
      <c r="U43" s="71"/>
    </row>
    <row r="44" spans="1:21">
      <c r="A44" s="99" t="s">
        <v>43</v>
      </c>
      <c r="B44" s="192" t="s">
        <v>82</v>
      </c>
      <c r="C44" s="193">
        <v>25300</v>
      </c>
      <c r="D44" s="194"/>
      <c r="E44" s="194"/>
      <c r="F44" s="194"/>
      <c r="G44" s="194"/>
      <c r="H44" s="195"/>
      <c r="I44" s="196">
        <v>25300</v>
      </c>
      <c r="J44" s="197"/>
      <c r="K44" s="197"/>
      <c r="L44" s="197"/>
      <c r="M44" s="198"/>
      <c r="N44" s="189">
        <f t="shared" si="2"/>
        <v>50600</v>
      </c>
      <c r="O44" s="190"/>
      <c r="P44" s="190"/>
      <c r="Q44" s="190"/>
      <c r="R44" s="190"/>
      <c r="S44" s="191"/>
      <c r="T44" s="71"/>
      <c r="U44" s="71"/>
    </row>
    <row r="45" spans="1:21">
      <c r="A45" s="99" t="s">
        <v>46</v>
      </c>
      <c r="B45" s="192" t="s">
        <v>83</v>
      </c>
      <c r="C45" s="193">
        <v>16160</v>
      </c>
      <c r="D45" s="194"/>
      <c r="E45" s="194"/>
      <c r="F45" s="194"/>
      <c r="G45" s="194"/>
      <c r="H45" s="195"/>
      <c r="I45" s="196">
        <v>16330</v>
      </c>
      <c r="J45" s="197"/>
      <c r="K45" s="197"/>
      <c r="L45" s="197"/>
      <c r="M45" s="198"/>
      <c r="N45" s="189">
        <f t="shared" si="2"/>
        <v>32490</v>
      </c>
      <c r="O45" s="190"/>
      <c r="P45" s="190"/>
      <c r="Q45" s="190"/>
      <c r="R45" s="190"/>
      <c r="S45" s="191"/>
      <c r="T45" s="71"/>
      <c r="U45" s="71"/>
    </row>
    <row r="46" spans="1:21">
      <c r="A46" s="99" t="s">
        <v>49</v>
      </c>
      <c r="B46" s="192" t="s">
        <v>84</v>
      </c>
      <c r="C46" s="199">
        <v>60</v>
      </c>
      <c r="D46" s="200"/>
      <c r="E46" s="200"/>
      <c r="F46" s="200"/>
      <c r="G46" s="200"/>
      <c r="H46" s="201"/>
      <c r="I46" s="196">
        <v>0</v>
      </c>
      <c r="J46" s="197"/>
      <c r="K46" s="197"/>
      <c r="L46" s="197"/>
      <c r="M46" s="198"/>
      <c r="N46" s="189">
        <f t="shared" si="2"/>
        <v>60</v>
      </c>
      <c r="O46" s="190"/>
      <c r="P46" s="190"/>
      <c r="Q46" s="190"/>
      <c r="R46" s="190"/>
      <c r="S46" s="191"/>
      <c r="T46" s="71"/>
      <c r="U46" s="71"/>
    </row>
    <row r="47" spans="1:21">
      <c r="A47" s="99" t="s">
        <v>65</v>
      </c>
      <c r="B47" s="192" t="s">
        <v>85</v>
      </c>
      <c r="C47" s="199">
        <v>300</v>
      </c>
      <c r="D47" s="200"/>
      <c r="E47" s="200"/>
      <c r="F47" s="200"/>
      <c r="G47" s="200"/>
      <c r="H47" s="201"/>
      <c r="I47" s="196">
        <v>800</v>
      </c>
      <c r="J47" s="197"/>
      <c r="K47" s="197"/>
      <c r="L47" s="197"/>
      <c r="M47" s="198"/>
      <c r="N47" s="189">
        <f t="shared" si="2"/>
        <v>1100</v>
      </c>
      <c r="O47" s="190"/>
      <c r="P47" s="190"/>
      <c r="Q47" s="190"/>
      <c r="R47" s="190"/>
      <c r="S47" s="191"/>
      <c r="T47" s="71"/>
      <c r="U47" s="71"/>
    </row>
    <row r="48" spans="1:21">
      <c r="A48" s="99" t="s">
        <v>67</v>
      </c>
      <c r="B48" s="192" t="s">
        <v>86</v>
      </c>
      <c r="C48" s="193">
        <f>SUM(L127)</f>
        <v>30</v>
      </c>
      <c r="D48" s="194"/>
      <c r="E48" s="194"/>
      <c r="F48" s="194"/>
      <c r="G48" s="194"/>
      <c r="H48" s="195"/>
      <c r="I48" s="196">
        <v>500</v>
      </c>
      <c r="J48" s="197"/>
      <c r="K48" s="197"/>
      <c r="L48" s="197"/>
      <c r="M48" s="198"/>
      <c r="N48" s="189">
        <f t="shared" si="2"/>
        <v>530</v>
      </c>
      <c r="O48" s="190"/>
      <c r="P48" s="190"/>
      <c r="Q48" s="190"/>
      <c r="R48" s="190"/>
      <c r="S48" s="191"/>
      <c r="T48" s="71"/>
      <c r="U48" s="71"/>
    </row>
    <row r="49" spans="1:21">
      <c r="A49" s="99" t="s">
        <v>69</v>
      </c>
      <c r="B49" s="192" t="s">
        <v>87</v>
      </c>
      <c r="C49" s="193">
        <f>SUM(L111)</f>
        <v>8000</v>
      </c>
      <c r="D49" s="194"/>
      <c r="E49" s="194"/>
      <c r="F49" s="194"/>
      <c r="G49" s="194"/>
      <c r="H49" s="195"/>
      <c r="I49" s="196">
        <v>5438</v>
      </c>
      <c r="J49" s="197"/>
      <c r="K49" s="197"/>
      <c r="L49" s="197"/>
      <c r="M49" s="198"/>
      <c r="N49" s="189">
        <f t="shared" ref="N49:N57" si="4">SUM(C49:M49)</f>
        <v>13438</v>
      </c>
      <c r="O49" s="190"/>
      <c r="P49" s="190"/>
      <c r="Q49" s="190"/>
      <c r="R49" s="190"/>
      <c r="S49" s="191"/>
      <c r="T49" s="71"/>
      <c r="U49" s="71"/>
    </row>
    <row r="50" spans="1:21">
      <c r="A50" s="99" t="s">
        <v>71</v>
      </c>
      <c r="B50" s="202" t="s">
        <v>88</v>
      </c>
      <c r="C50" s="199">
        <v>172500</v>
      </c>
      <c r="D50" s="200"/>
      <c r="E50" s="200"/>
      <c r="F50" s="200"/>
      <c r="G50" s="200"/>
      <c r="H50" s="201"/>
      <c r="I50" s="196">
        <v>115000</v>
      </c>
      <c r="J50" s="197"/>
      <c r="K50" s="197"/>
      <c r="L50" s="197"/>
      <c r="M50" s="198"/>
      <c r="N50" s="189">
        <f t="shared" si="4"/>
        <v>287500</v>
      </c>
      <c r="O50" s="190"/>
      <c r="P50" s="190"/>
      <c r="Q50" s="190"/>
      <c r="R50" s="190"/>
      <c r="S50" s="191"/>
      <c r="T50" s="71"/>
      <c r="U50" s="71"/>
    </row>
    <row r="51" spans="1:21">
      <c r="A51" s="99" t="s">
        <v>89</v>
      </c>
      <c r="B51" s="202" t="s">
        <v>90</v>
      </c>
      <c r="C51" s="199">
        <v>48750</v>
      </c>
      <c r="D51" s="200"/>
      <c r="E51" s="200"/>
      <c r="F51" s="200"/>
      <c r="G51" s="200"/>
      <c r="H51" s="201"/>
      <c r="I51" s="196">
        <v>32500</v>
      </c>
      <c r="J51" s="197"/>
      <c r="K51" s="197"/>
      <c r="L51" s="197"/>
      <c r="M51" s="198"/>
      <c r="N51" s="189">
        <f t="shared" si="4"/>
        <v>81250</v>
      </c>
      <c r="O51" s="190"/>
      <c r="P51" s="190"/>
      <c r="Q51" s="190"/>
      <c r="R51" s="190"/>
      <c r="S51" s="191"/>
      <c r="T51" s="71"/>
      <c r="U51" s="71"/>
    </row>
    <row r="52" spans="1:21">
      <c r="A52" s="99" t="s">
        <v>91</v>
      </c>
      <c r="B52" s="192" t="s">
        <v>92</v>
      </c>
      <c r="C52" s="193">
        <v>90176</v>
      </c>
      <c r="D52" s="203"/>
      <c r="E52" s="203"/>
      <c r="F52" s="203"/>
      <c r="G52" s="203"/>
      <c r="H52" s="204"/>
      <c r="I52" s="196">
        <v>57500</v>
      </c>
      <c r="J52" s="197"/>
      <c r="K52" s="197"/>
      <c r="L52" s="197"/>
      <c r="M52" s="198"/>
      <c r="N52" s="189">
        <f t="shared" si="4"/>
        <v>147676</v>
      </c>
      <c r="O52" s="190"/>
      <c r="P52" s="190"/>
      <c r="Q52" s="190"/>
      <c r="R52" s="190"/>
      <c r="S52" s="191"/>
      <c r="T52" s="71"/>
      <c r="U52" s="71"/>
    </row>
    <row r="53" spans="1:21">
      <c r="A53" s="99" t="s">
        <v>93</v>
      </c>
      <c r="B53" s="192" t="s">
        <v>94</v>
      </c>
      <c r="C53" s="193">
        <v>500000</v>
      </c>
      <c r="D53" s="203"/>
      <c r="E53" s="203"/>
      <c r="F53" s="203"/>
      <c r="G53" s="203"/>
      <c r="H53" s="204"/>
      <c r="I53" s="196">
        <v>16250</v>
      </c>
      <c r="J53" s="197"/>
      <c r="K53" s="197"/>
      <c r="L53" s="197"/>
      <c r="M53" s="198"/>
      <c r="N53" s="189">
        <f t="shared" si="4"/>
        <v>516250</v>
      </c>
      <c r="O53" s="190"/>
      <c r="P53" s="190"/>
      <c r="Q53" s="190"/>
      <c r="R53" s="190"/>
      <c r="S53" s="191"/>
      <c r="T53" s="71"/>
      <c r="U53" s="71"/>
    </row>
    <row r="54" spans="1:21">
      <c r="A54" s="99" t="s">
        <v>95</v>
      </c>
      <c r="B54" s="192" t="s">
        <v>96</v>
      </c>
      <c r="C54" s="193">
        <v>0</v>
      </c>
      <c r="D54" s="194"/>
      <c r="E54" s="194"/>
      <c r="F54" s="194"/>
      <c r="G54" s="194"/>
      <c r="H54" s="195"/>
      <c r="I54" s="196">
        <v>12500</v>
      </c>
      <c r="J54" s="197"/>
      <c r="K54" s="197"/>
      <c r="L54" s="197"/>
      <c r="M54" s="198"/>
      <c r="N54" s="189">
        <f t="shared" si="4"/>
        <v>12500</v>
      </c>
      <c r="O54" s="190"/>
      <c r="P54" s="190"/>
      <c r="Q54" s="190"/>
      <c r="R54" s="190"/>
      <c r="S54" s="191"/>
      <c r="T54" s="71"/>
      <c r="U54" s="71"/>
    </row>
    <row r="55" spans="1:21">
      <c r="A55" s="99" t="s">
        <v>97</v>
      </c>
      <c r="B55" s="192" t="s">
        <v>98</v>
      </c>
      <c r="C55" s="193">
        <v>0</v>
      </c>
      <c r="D55" s="194"/>
      <c r="E55" s="194"/>
      <c r="F55" s="194"/>
      <c r="G55" s="194"/>
      <c r="H55" s="195"/>
      <c r="I55" s="196">
        <v>6250</v>
      </c>
      <c r="J55" s="197"/>
      <c r="K55" s="197"/>
      <c r="L55" s="197"/>
      <c r="M55" s="198"/>
      <c r="N55" s="189">
        <f t="shared" si="4"/>
        <v>6250</v>
      </c>
      <c r="O55" s="190"/>
      <c r="P55" s="190"/>
      <c r="Q55" s="190"/>
      <c r="R55" s="190"/>
      <c r="S55" s="191"/>
      <c r="T55" s="71"/>
      <c r="U55" s="71"/>
    </row>
    <row r="56" spans="1:21">
      <c r="A56" s="99" t="s">
        <v>99</v>
      </c>
      <c r="B56" s="205" t="s">
        <v>100</v>
      </c>
      <c r="C56" s="193">
        <f>SUM(L142)</f>
        <v>103910</v>
      </c>
      <c r="D56" s="194"/>
      <c r="E56" s="194"/>
      <c r="F56" s="194"/>
      <c r="G56" s="194"/>
      <c r="H56" s="195"/>
      <c r="I56" s="196">
        <v>113704</v>
      </c>
      <c r="J56" s="197"/>
      <c r="K56" s="197"/>
      <c r="L56" s="197"/>
      <c r="M56" s="198"/>
      <c r="N56" s="189">
        <f t="shared" si="4"/>
        <v>217614</v>
      </c>
      <c r="O56" s="190"/>
      <c r="P56" s="190"/>
      <c r="Q56" s="190"/>
      <c r="R56" s="190"/>
      <c r="S56" s="191"/>
      <c r="T56" s="71"/>
      <c r="U56" s="71"/>
    </row>
    <row r="57" spans="1:21">
      <c r="A57" s="99" t="s">
        <v>101</v>
      </c>
      <c r="B57" s="205" t="s">
        <v>102</v>
      </c>
      <c r="C57" s="193">
        <v>52300</v>
      </c>
      <c r="D57" s="194"/>
      <c r="E57" s="194"/>
      <c r="F57" s="194"/>
      <c r="G57" s="194"/>
      <c r="H57" s="195"/>
      <c r="I57" s="196">
        <v>92750</v>
      </c>
      <c r="J57" s="197"/>
      <c r="K57" s="197"/>
      <c r="L57" s="197"/>
      <c r="M57" s="198"/>
      <c r="N57" s="189">
        <f t="shared" si="4"/>
        <v>145050</v>
      </c>
      <c r="O57" s="190"/>
      <c r="P57" s="190"/>
      <c r="Q57" s="190"/>
      <c r="R57" s="190"/>
      <c r="S57" s="191"/>
      <c r="T57" s="71"/>
      <c r="U57" s="71"/>
    </row>
    <row r="58" spans="1:21" ht="15.75" thickBot="1">
      <c r="A58" s="110" t="s">
        <v>103</v>
      </c>
      <c r="B58" s="206" t="s">
        <v>104</v>
      </c>
      <c r="C58" s="207">
        <f>SUM(L155)</f>
        <v>28650</v>
      </c>
      <c r="D58" s="208"/>
      <c r="E58" s="208"/>
      <c r="F58" s="208"/>
      <c r="G58" s="208"/>
      <c r="H58" s="209"/>
      <c r="I58" s="210">
        <v>7500</v>
      </c>
      <c r="J58" s="211"/>
      <c r="K58" s="211"/>
      <c r="L58" s="211"/>
      <c r="M58" s="212"/>
      <c r="N58" s="213">
        <f t="shared" si="2"/>
        <v>36150</v>
      </c>
      <c r="O58" s="214"/>
      <c r="P58" s="214"/>
      <c r="Q58" s="214"/>
      <c r="R58" s="214"/>
      <c r="S58" s="215"/>
      <c r="T58" s="71"/>
      <c r="U58" s="71"/>
    </row>
    <row r="59" spans="1:21" ht="9.75" customHeight="1">
      <c r="A59" s="161" t="s">
        <v>105</v>
      </c>
      <c r="B59" s="163"/>
      <c r="C59" s="216">
        <f>SUM(C41:H58)</f>
        <v>1653620</v>
      </c>
      <c r="D59" s="217"/>
      <c r="E59" s="217"/>
      <c r="F59" s="217"/>
      <c r="G59" s="217"/>
      <c r="H59" s="218"/>
      <c r="I59" s="161">
        <f>SUM(I41:M58)</f>
        <v>1145820</v>
      </c>
      <c r="J59" s="162"/>
      <c r="K59" s="162"/>
      <c r="L59" s="162"/>
      <c r="M59" s="163"/>
      <c r="N59" s="216">
        <f>SUM(N41:S58)</f>
        <v>2799440</v>
      </c>
      <c r="O59" s="217"/>
      <c r="P59" s="217"/>
      <c r="Q59" s="217"/>
      <c r="R59" s="217"/>
      <c r="S59" s="218"/>
      <c r="T59" s="71"/>
      <c r="U59" s="71"/>
    </row>
    <row r="60" spans="1:21" ht="12.75" customHeight="1" thickBot="1">
      <c r="A60" s="164"/>
      <c r="B60" s="166"/>
      <c r="C60" s="219"/>
      <c r="D60" s="220"/>
      <c r="E60" s="220"/>
      <c r="F60" s="220"/>
      <c r="G60" s="220"/>
      <c r="H60" s="221"/>
      <c r="I60" s="164"/>
      <c r="J60" s="165"/>
      <c r="K60" s="165"/>
      <c r="L60" s="165"/>
      <c r="M60" s="166"/>
      <c r="N60" s="219"/>
      <c r="O60" s="220"/>
      <c r="P60" s="220"/>
      <c r="Q60" s="220"/>
      <c r="R60" s="220"/>
      <c r="S60" s="221"/>
      <c r="T60" s="71"/>
      <c r="U60" s="71"/>
    </row>
    <row r="61" spans="1:21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</row>
    <row r="62" spans="1:21" ht="15.75" thickBot="1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</row>
    <row r="63" spans="1:21" ht="19.5" thickBot="1">
      <c r="A63" s="222"/>
      <c r="B63" s="222"/>
      <c r="C63" s="158" t="s">
        <v>106</v>
      </c>
      <c r="D63" s="159"/>
      <c r="E63" s="159"/>
      <c r="F63" s="159"/>
      <c r="G63" s="159"/>
      <c r="H63" s="159"/>
      <c r="I63" s="159"/>
      <c r="J63" s="160"/>
      <c r="K63" s="158" t="s">
        <v>107</v>
      </c>
      <c r="L63" s="159"/>
      <c r="M63" s="159"/>
      <c r="N63" s="159"/>
      <c r="O63" s="159"/>
      <c r="P63" s="159"/>
      <c r="Q63" s="159"/>
      <c r="R63" s="159"/>
      <c r="S63" s="160"/>
      <c r="T63" s="223"/>
      <c r="U63" s="223"/>
    </row>
    <row r="64" spans="1:21">
      <c r="A64" s="224" t="s">
        <v>3</v>
      </c>
      <c r="B64" s="225" t="s">
        <v>108</v>
      </c>
      <c r="C64" s="226" t="s">
        <v>109</v>
      </c>
      <c r="D64" s="227"/>
      <c r="E64" s="228"/>
      <c r="F64" s="229" t="s">
        <v>110</v>
      </c>
      <c r="G64" s="229" t="s">
        <v>111</v>
      </c>
      <c r="H64" s="229" t="s">
        <v>112</v>
      </c>
      <c r="I64" s="230" t="s">
        <v>113</v>
      </c>
      <c r="J64" s="231" t="s">
        <v>113</v>
      </c>
      <c r="K64" s="232" t="s">
        <v>114</v>
      </c>
      <c r="L64" s="229" t="s">
        <v>115</v>
      </c>
      <c r="M64" s="229" t="s">
        <v>116</v>
      </c>
      <c r="N64" s="229" t="s">
        <v>117</v>
      </c>
      <c r="O64" s="229" t="s">
        <v>118</v>
      </c>
      <c r="P64" s="229" t="s">
        <v>119</v>
      </c>
      <c r="Q64" s="231" t="s">
        <v>120</v>
      </c>
      <c r="R64" s="23" t="s">
        <v>121</v>
      </c>
      <c r="S64" s="233"/>
      <c r="T64" s="79"/>
      <c r="U64" s="79"/>
    </row>
    <row r="65" spans="1:21" ht="15.75" thickBot="1">
      <c r="A65" s="234"/>
      <c r="B65" s="235"/>
      <c r="C65" s="236"/>
      <c r="D65" s="237"/>
      <c r="E65" s="238"/>
      <c r="F65" s="239"/>
      <c r="G65" s="239"/>
      <c r="H65" s="239"/>
      <c r="I65" s="240"/>
      <c r="J65" s="241"/>
      <c r="K65" s="242"/>
      <c r="L65" s="239"/>
      <c r="M65" s="239"/>
      <c r="N65" s="239"/>
      <c r="O65" s="239"/>
      <c r="P65" s="239"/>
      <c r="Q65" s="241"/>
      <c r="R65" s="243"/>
      <c r="S65" s="244"/>
      <c r="T65" s="79"/>
      <c r="U65" s="79"/>
    </row>
    <row r="66" spans="1:21">
      <c r="A66" s="141" t="s">
        <v>28</v>
      </c>
      <c r="B66" s="245" t="s">
        <v>122</v>
      </c>
      <c r="C66" s="246">
        <v>3400000</v>
      </c>
      <c r="D66" s="247"/>
      <c r="E66" s="248"/>
      <c r="F66" s="249">
        <v>0</v>
      </c>
      <c r="G66" s="250">
        <v>0</v>
      </c>
      <c r="H66" s="251">
        <v>0</v>
      </c>
      <c r="I66" s="252">
        <v>0</v>
      </c>
      <c r="J66" s="253">
        <v>0</v>
      </c>
      <c r="K66" s="254">
        <v>15000</v>
      </c>
      <c r="L66" s="255">
        <v>6000</v>
      </c>
      <c r="M66" s="252">
        <v>3000</v>
      </c>
      <c r="N66" s="255">
        <f>SUM(C66*0.0014)</f>
        <v>4760</v>
      </c>
      <c r="O66" s="256">
        <f>SUM(H66*1.4)</f>
        <v>0</v>
      </c>
      <c r="P66" s="256">
        <v>2000</v>
      </c>
      <c r="Q66" s="257">
        <v>0</v>
      </c>
      <c r="R66" s="258">
        <f>SUM(K66:Q66)</f>
        <v>30760</v>
      </c>
      <c r="S66" s="259"/>
      <c r="T66" s="71"/>
      <c r="U66" s="71"/>
    </row>
    <row r="67" spans="1:21">
      <c r="A67" s="99" t="s">
        <v>30</v>
      </c>
      <c r="B67" s="260" t="s">
        <v>123</v>
      </c>
      <c r="C67" s="261">
        <v>6930000</v>
      </c>
      <c r="D67" s="262"/>
      <c r="E67" s="263"/>
      <c r="F67" s="264">
        <v>0</v>
      </c>
      <c r="G67" s="265">
        <v>0</v>
      </c>
      <c r="H67" s="266">
        <v>0</v>
      </c>
      <c r="I67" s="267">
        <v>0</v>
      </c>
      <c r="J67" s="253">
        <v>0</v>
      </c>
      <c r="K67" s="268">
        <v>13500</v>
      </c>
      <c r="L67" s="269">
        <v>6000</v>
      </c>
      <c r="M67" s="267">
        <v>3000</v>
      </c>
      <c r="N67" s="255">
        <f t="shared" ref="N67:N70" si="5">SUM(C67*0.0014)</f>
        <v>9702</v>
      </c>
      <c r="O67" s="256">
        <f>SUM(H67*1.4)</f>
        <v>0</v>
      </c>
      <c r="P67" s="256">
        <v>2000</v>
      </c>
      <c r="Q67" s="270">
        <v>0</v>
      </c>
      <c r="R67" s="271">
        <f>SUM(K67:Q67)</f>
        <v>34202</v>
      </c>
      <c r="S67" s="272"/>
      <c r="T67" s="71"/>
      <c r="U67" s="71"/>
    </row>
    <row r="68" spans="1:21">
      <c r="A68" s="99" t="s">
        <v>32</v>
      </c>
      <c r="B68" s="260" t="s">
        <v>124</v>
      </c>
      <c r="C68" s="261">
        <v>2450000</v>
      </c>
      <c r="D68" s="262"/>
      <c r="E68" s="263"/>
      <c r="F68" s="264">
        <v>100</v>
      </c>
      <c r="G68" s="265">
        <v>0</v>
      </c>
      <c r="H68" s="266">
        <v>0</v>
      </c>
      <c r="I68" s="252">
        <v>0</v>
      </c>
      <c r="J68" s="253">
        <v>0</v>
      </c>
      <c r="K68" s="254">
        <v>15000</v>
      </c>
      <c r="L68" s="269">
        <v>5000</v>
      </c>
      <c r="M68" s="252">
        <v>3000</v>
      </c>
      <c r="N68" s="255">
        <f t="shared" si="5"/>
        <v>3430</v>
      </c>
      <c r="O68" s="256">
        <f t="shared" ref="O68:O70" si="6">SUM(H68*1.4)</f>
        <v>0</v>
      </c>
      <c r="P68" s="256">
        <v>2000</v>
      </c>
      <c r="Q68" s="270">
        <v>0</v>
      </c>
      <c r="R68" s="271">
        <f>SUM(K68:Q68)</f>
        <v>28430</v>
      </c>
      <c r="S68" s="272"/>
      <c r="T68" s="71"/>
      <c r="U68" s="71"/>
    </row>
    <row r="69" spans="1:21">
      <c r="A69" s="52" t="s">
        <v>43</v>
      </c>
      <c r="B69" s="260" t="s">
        <v>125</v>
      </c>
      <c r="C69" s="261">
        <v>1880000</v>
      </c>
      <c r="D69" s="262"/>
      <c r="E69" s="263"/>
      <c r="F69" s="264">
        <v>0</v>
      </c>
      <c r="G69" s="265">
        <v>0</v>
      </c>
      <c r="H69" s="266">
        <v>0</v>
      </c>
      <c r="I69" s="252">
        <v>0</v>
      </c>
      <c r="J69" s="253">
        <v>0</v>
      </c>
      <c r="K69" s="254">
        <v>10000</v>
      </c>
      <c r="L69" s="269">
        <v>2000</v>
      </c>
      <c r="M69" s="252">
        <v>0</v>
      </c>
      <c r="N69" s="255">
        <f t="shared" si="5"/>
        <v>2632</v>
      </c>
      <c r="O69" s="256">
        <f t="shared" si="6"/>
        <v>0</v>
      </c>
      <c r="P69" s="256">
        <v>0</v>
      </c>
      <c r="Q69" s="270">
        <v>0</v>
      </c>
      <c r="R69" s="271">
        <f>SUM(K69:Q69)</f>
        <v>14632</v>
      </c>
      <c r="S69" s="272"/>
      <c r="T69" s="71"/>
      <c r="U69" s="71"/>
    </row>
    <row r="70" spans="1:21" ht="15.75" thickBot="1">
      <c r="A70" s="52" t="s">
        <v>46</v>
      </c>
      <c r="B70" s="260" t="s">
        <v>17</v>
      </c>
      <c r="C70" s="273">
        <v>0</v>
      </c>
      <c r="D70" s="274"/>
      <c r="E70" s="275"/>
      <c r="F70" s="264">
        <v>0</v>
      </c>
      <c r="G70" s="265">
        <v>0</v>
      </c>
      <c r="H70" s="266">
        <v>0</v>
      </c>
      <c r="I70" s="267">
        <f t="shared" ref="I70" si="7">SUM(C70*0.0014)</f>
        <v>0</v>
      </c>
      <c r="J70" s="253">
        <v>0</v>
      </c>
      <c r="K70" s="268">
        <v>0</v>
      </c>
      <c r="L70" s="269">
        <v>0</v>
      </c>
      <c r="M70" s="267">
        <v>0</v>
      </c>
      <c r="N70" s="255">
        <f t="shared" si="5"/>
        <v>0</v>
      </c>
      <c r="O70" s="256">
        <f t="shared" si="6"/>
        <v>0</v>
      </c>
      <c r="P70" s="256">
        <v>0</v>
      </c>
      <c r="Q70" s="270">
        <v>0</v>
      </c>
      <c r="R70" s="276">
        <f>SUM(K70:Q70)</f>
        <v>0</v>
      </c>
      <c r="S70" s="277"/>
      <c r="T70" s="71"/>
      <c r="U70" s="71"/>
    </row>
    <row r="71" spans="1:21" ht="19.5" thickBot="1">
      <c r="A71" s="158" t="s">
        <v>20</v>
      </c>
      <c r="B71" s="160"/>
      <c r="C71" s="278">
        <f>SUM(C66:D70)</f>
        <v>14660000</v>
      </c>
      <c r="D71" s="2"/>
      <c r="E71" s="279"/>
      <c r="F71" s="280">
        <f t="shared" ref="F71:Q71" si="8">SUM(F66:F70)</f>
        <v>100</v>
      </c>
      <c r="G71" s="281">
        <f t="shared" si="8"/>
        <v>0</v>
      </c>
      <c r="H71" s="281">
        <f t="shared" si="8"/>
        <v>0</v>
      </c>
      <c r="I71" s="282">
        <f t="shared" si="8"/>
        <v>0</v>
      </c>
      <c r="J71" s="283">
        <f t="shared" si="8"/>
        <v>0</v>
      </c>
      <c r="K71" s="284">
        <f t="shared" si="8"/>
        <v>53500</v>
      </c>
      <c r="L71" s="280">
        <f t="shared" si="8"/>
        <v>19000</v>
      </c>
      <c r="M71" s="285">
        <f t="shared" si="8"/>
        <v>9000</v>
      </c>
      <c r="N71" s="285">
        <f t="shared" si="8"/>
        <v>20524</v>
      </c>
      <c r="O71" s="281">
        <f t="shared" si="8"/>
        <v>0</v>
      </c>
      <c r="P71" s="281">
        <f t="shared" si="8"/>
        <v>6000</v>
      </c>
      <c r="Q71" s="281">
        <f t="shared" si="8"/>
        <v>0</v>
      </c>
      <c r="R71" s="286">
        <f>SUM(R66:S70)</f>
        <v>108024</v>
      </c>
      <c r="S71" s="287"/>
      <c r="T71" s="71"/>
      <c r="U71" s="71"/>
    </row>
    <row r="72" spans="1:21" ht="18.75">
      <c r="A72" s="288"/>
      <c r="B72" s="127"/>
      <c r="C72" s="131"/>
      <c r="D72" s="131"/>
      <c r="E72" s="289"/>
      <c r="F72" s="289"/>
      <c r="G72" s="131"/>
      <c r="H72" s="131"/>
      <c r="I72" s="289"/>
      <c r="J72" s="131"/>
      <c r="K72" s="131"/>
      <c r="L72" s="131"/>
      <c r="M72" s="131"/>
      <c r="N72" s="131"/>
      <c r="O72" s="131"/>
      <c r="P72" s="290"/>
      <c r="Q72" s="291"/>
      <c r="R72" s="71"/>
      <c r="S72" s="71"/>
      <c r="T72" s="71"/>
      <c r="U72" s="71"/>
    </row>
    <row r="73" spans="1:21" ht="15.75" thickBot="1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</row>
    <row r="74" spans="1:21" ht="16.5" thickBot="1">
      <c r="A74" s="292" t="s">
        <v>126</v>
      </c>
      <c r="B74" s="293" t="s">
        <v>127</v>
      </c>
      <c r="C74" s="294"/>
      <c r="D74" s="295"/>
      <c r="E74" s="130"/>
      <c r="F74" s="130"/>
      <c r="G74" s="130"/>
      <c r="H74" s="127"/>
      <c r="I74" s="127"/>
      <c r="J74" s="130"/>
      <c r="K74" s="130"/>
      <c r="L74" s="130"/>
      <c r="M74" s="130"/>
      <c r="N74" s="296"/>
      <c r="O74" s="296"/>
      <c r="P74" s="296"/>
      <c r="Q74" s="296"/>
      <c r="R74" s="71"/>
      <c r="S74" s="71"/>
      <c r="T74" s="71"/>
      <c r="U74" s="71"/>
    </row>
    <row r="75" spans="1:21" ht="19.5" thickBot="1">
      <c r="A75" s="297"/>
      <c r="B75" s="297"/>
      <c r="C75" s="297"/>
      <c r="D75" s="298" t="s">
        <v>128</v>
      </c>
      <c r="E75" s="299" t="s">
        <v>129</v>
      </c>
      <c r="F75" s="300"/>
      <c r="G75" s="300"/>
      <c r="H75" s="300"/>
      <c r="I75" s="301"/>
      <c r="J75" s="302" t="s">
        <v>130</v>
      </c>
      <c r="K75" s="303"/>
      <c r="L75" s="302" t="s">
        <v>131</v>
      </c>
      <c r="M75" s="303"/>
      <c r="N75" s="302" t="s">
        <v>132</v>
      </c>
      <c r="O75" s="303"/>
      <c r="P75" s="302" t="s">
        <v>133</v>
      </c>
      <c r="Q75" s="303"/>
      <c r="R75" s="299" t="s">
        <v>20</v>
      </c>
      <c r="S75" s="301"/>
      <c r="T75" s="71"/>
      <c r="U75" s="71"/>
    </row>
    <row r="76" spans="1:21" ht="15.75">
      <c r="A76" s="304"/>
      <c r="B76" s="304"/>
      <c r="C76" s="305"/>
      <c r="D76" s="306" t="s">
        <v>46</v>
      </c>
      <c r="E76" s="307" t="s">
        <v>134</v>
      </c>
      <c r="F76" s="308"/>
      <c r="G76" s="308"/>
      <c r="H76" s="308"/>
      <c r="I76" s="309"/>
      <c r="J76" s="310">
        <v>20000</v>
      </c>
      <c r="K76" s="311"/>
      <c r="L76" s="310">
        <v>0</v>
      </c>
      <c r="M76" s="312"/>
      <c r="N76" s="313">
        <v>0</v>
      </c>
      <c r="O76" s="311"/>
      <c r="P76" s="310">
        <v>0</v>
      </c>
      <c r="Q76" s="312"/>
      <c r="R76" s="314">
        <f t="shared" ref="R76:R81" si="9">SUM(J76+L76+N76+P76)</f>
        <v>20000</v>
      </c>
      <c r="S76" s="315"/>
      <c r="T76" s="71"/>
      <c r="U76" s="71"/>
    </row>
    <row r="77" spans="1:21" ht="15.75">
      <c r="A77" s="304"/>
      <c r="B77" s="304"/>
      <c r="C77" s="305"/>
      <c r="D77" s="316" t="s">
        <v>49</v>
      </c>
      <c r="E77" s="317" t="s">
        <v>135</v>
      </c>
      <c r="F77" s="318"/>
      <c r="G77" s="318"/>
      <c r="H77" s="318"/>
      <c r="I77" s="319"/>
      <c r="J77" s="320">
        <v>27000</v>
      </c>
      <c r="K77" s="321"/>
      <c r="L77" s="320">
        <v>0</v>
      </c>
      <c r="M77" s="320"/>
      <c r="N77" s="322">
        <v>0</v>
      </c>
      <c r="O77" s="321"/>
      <c r="P77" s="320">
        <v>0</v>
      </c>
      <c r="Q77" s="320"/>
      <c r="R77" s="314">
        <f t="shared" si="9"/>
        <v>27000</v>
      </c>
      <c r="S77" s="315"/>
      <c r="T77" s="71"/>
      <c r="U77" s="71"/>
    </row>
    <row r="78" spans="1:21" ht="15.75">
      <c r="A78" s="304"/>
      <c r="B78" s="304"/>
      <c r="C78" s="305"/>
      <c r="D78" s="316" t="s">
        <v>65</v>
      </c>
      <c r="E78" s="317" t="s">
        <v>136</v>
      </c>
      <c r="F78" s="318"/>
      <c r="G78" s="318"/>
      <c r="H78" s="318"/>
      <c r="I78" s="319"/>
      <c r="J78" s="320">
        <v>34000</v>
      </c>
      <c r="K78" s="321"/>
      <c r="L78" s="320">
        <v>0</v>
      </c>
      <c r="M78" s="320"/>
      <c r="N78" s="322">
        <v>0</v>
      </c>
      <c r="O78" s="321"/>
      <c r="P78" s="320">
        <v>1500</v>
      </c>
      <c r="Q78" s="320"/>
      <c r="R78" s="314">
        <f t="shared" si="9"/>
        <v>35500</v>
      </c>
      <c r="S78" s="315"/>
      <c r="T78" s="71"/>
      <c r="U78" s="71"/>
    </row>
    <row r="79" spans="1:21" ht="15.75">
      <c r="A79" s="304"/>
      <c r="B79" s="304"/>
      <c r="C79" s="305"/>
      <c r="D79" s="316" t="s">
        <v>67</v>
      </c>
      <c r="E79" s="317" t="s">
        <v>137</v>
      </c>
      <c r="F79" s="318"/>
      <c r="G79" s="318"/>
      <c r="H79" s="318"/>
      <c r="I79" s="319"/>
      <c r="J79" s="320">
        <v>15000</v>
      </c>
      <c r="K79" s="321"/>
      <c r="L79" s="320">
        <v>0</v>
      </c>
      <c r="M79" s="320"/>
      <c r="N79" s="322">
        <v>0</v>
      </c>
      <c r="O79" s="321"/>
      <c r="P79" s="320">
        <v>0</v>
      </c>
      <c r="Q79" s="320"/>
      <c r="R79" s="314">
        <f t="shared" si="9"/>
        <v>15000</v>
      </c>
      <c r="S79" s="315"/>
      <c r="T79" s="71"/>
      <c r="U79" s="71"/>
    </row>
    <row r="80" spans="1:21" ht="15.75">
      <c r="A80" s="304"/>
      <c r="B80" s="304"/>
      <c r="C80" s="305"/>
      <c r="D80" s="316" t="s">
        <v>69</v>
      </c>
      <c r="E80" s="317" t="s">
        <v>138</v>
      </c>
      <c r="F80" s="318"/>
      <c r="G80" s="318"/>
      <c r="H80" s="318"/>
      <c r="I80" s="319"/>
      <c r="J80" s="320">
        <v>35000</v>
      </c>
      <c r="K80" s="321"/>
      <c r="L80" s="320">
        <v>10000</v>
      </c>
      <c r="M80" s="320"/>
      <c r="N80" s="322">
        <v>0</v>
      </c>
      <c r="O80" s="321"/>
      <c r="P80" s="320">
        <v>1500</v>
      </c>
      <c r="Q80" s="320"/>
      <c r="R80" s="314">
        <f t="shared" si="9"/>
        <v>46500</v>
      </c>
      <c r="S80" s="315"/>
      <c r="T80" s="71"/>
      <c r="U80" s="71"/>
    </row>
    <row r="81" spans="1:21" ht="16.5" thickBot="1">
      <c r="A81" s="304"/>
      <c r="B81" s="304"/>
      <c r="C81" s="305"/>
      <c r="D81" s="323" t="s">
        <v>71</v>
      </c>
      <c r="E81" s="324" t="s">
        <v>139</v>
      </c>
      <c r="F81" s="325"/>
      <c r="G81" s="325"/>
      <c r="H81" s="325"/>
      <c r="I81" s="326"/>
      <c r="J81" s="327">
        <v>300</v>
      </c>
      <c r="K81" s="328"/>
      <c r="L81" s="327">
        <v>0</v>
      </c>
      <c r="M81" s="327"/>
      <c r="N81" s="329">
        <v>0</v>
      </c>
      <c r="O81" s="328"/>
      <c r="P81" s="327">
        <v>0</v>
      </c>
      <c r="Q81" s="327"/>
      <c r="R81" s="330">
        <f t="shared" si="9"/>
        <v>300</v>
      </c>
      <c r="S81" s="331"/>
      <c r="T81" s="71"/>
      <c r="U81" s="71"/>
    </row>
    <row r="82" spans="1:21" ht="17.25" thickBot="1">
      <c r="A82" s="296"/>
      <c r="B82" s="296"/>
      <c r="C82" s="296"/>
      <c r="D82" s="296"/>
      <c r="E82" s="332" t="s">
        <v>140</v>
      </c>
      <c r="F82" s="333"/>
      <c r="G82" s="333"/>
      <c r="H82" s="333"/>
      <c r="I82" s="334"/>
      <c r="J82" s="335">
        <f>SUM(J76:K81)</f>
        <v>131300</v>
      </c>
      <c r="K82" s="119"/>
      <c r="L82" s="118">
        <f>SUM(L76:M81)</f>
        <v>10000</v>
      </c>
      <c r="M82" s="119"/>
      <c r="N82" s="118">
        <f>SUM(N76:O81)</f>
        <v>0</v>
      </c>
      <c r="O82" s="119"/>
      <c r="P82" s="293">
        <f>SUM(P76:Q81)</f>
        <v>3000</v>
      </c>
      <c r="Q82" s="295"/>
      <c r="R82" s="336">
        <f>SUM(R76:S81)</f>
        <v>144300</v>
      </c>
      <c r="S82" s="295"/>
      <c r="T82" s="71"/>
      <c r="U82" s="71"/>
    </row>
    <row r="83" spans="1:21" ht="15.75" thickBot="1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</row>
    <row r="84" spans="1:21" ht="16.5" thickBot="1">
      <c r="A84" s="292" t="s">
        <v>141</v>
      </c>
      <c r="B84" s="293" t="s">
        <v>142</v>
      </c>
      <c r="C84" s="294"/>
      <c r="D84" s="295"/>
      <c r="E84" s="130"/>
      <c r="F84" s="130"/>
      <c r="G84" s="130"/>
      <c r="H84" s="127"/>
      <c r="I84" s="127"/>
      <c r="J84" s="130"/>
      <c r="K84" s="130"/>
      <c r="L84" s="130"/>
      <c r="M84" s="130"/>
      <c r="N84" s="296"/>
      <c r="O84" s="296"/>
      <c r="P84" s="296"/>
      <c r="Q84" s="296"/>
      <c r="R84" s="71"/>
      <c r="S84" s="71"/>
      <c r="T84" s="71"/>
      <c r="U84" s="71"/>
    </row>
    <row r="85" spans="1:21" ht="19.5" thickBot="1">
      <c r="A85" s="297"/>
      <c r="B85" s="297"/>
      <c r="C85" s="297"/>
      <c r="D85" s="337" t="s">
        <v>128</v>
      </c>
      <c r="E85" s="338" t="s">
        <v>129</v>
      </c>
      <c r="F85" s="339"/>
      <c r="G85" s="339"/>
      <c r="H85" s="339"/>
      <c r="I85" s="340"/>
      <c r="J85" s="341" t="s">
        <v>143</v>
      </c>
      <c r="K85" s="342"/>
      <c r="L85" s="343" t="s">
        <v>144</v>
      </c>
      <c r="M85" s="344" t="s">
        <v>119</v>
      </c>
      <c r="N85" s="345"/>
      <c r="O85" s="344" t="s">
        <v>145</v>
      </c>
      <c r="P85" s="345"/>
      <c r="Q85" s="293" t="s">
        <v>20</v>
      </c>
      <c r="R85" s="295"/>
      <c r="S85" s="71"/>
      <c r="T85" s="71"/>
      <c r="U85" s="71"/>
    </row>
    <row r="86" spans="1:21" ht="15.75">
      <c r="A86" s="304"/>
      <c r="B86" s="304"/>
      <c r="C86" s="305"/>
      <c r="D86" s="346" t="s">
        <v>28</v>
      </c>
      <c r="E86" s="347" t="s">
        <v>146</v>
      </c>
      <c r="F86" s="348"/>
      <c r="G86" s="348"/>
      <c r="H86" s="348"/>
      <c r="I86" s="349"/>
      <c r="J86" s="350">
        <v>36</v>
      </c>
      <c r="K86" s="351" t="s">
        <v>147</v>
      </c>
      <c r="L86" s="352">
        <v>150</v>
      </c>
      <c r="M86" s="353">
        <v>5400</v>
      </c>
      <c r="N86" s="354"/>
      <c r="O86" s="355">
        <v>400</v>
      </c>
      <c r="P86" s="356"/>
      <c r="Q86" s="357">
        <f>SUM(M86+O86)</f>
        <v>5800</v>
      </c>
      <c r="R86" s="358"/>
      <c r="S86" s="71"/>
      <c r="T86" s="71"/>
      <c r="U86" s="71"/>
    </row>
    <row r="87" spans="1:21" ht="15.75">
      <c r="A87" s="304"/>
      <c r="B87" s="304"/>
      <c r="C87" s="305"/>
      <c r="D87" s="359" t="s">
        <v>30</v>
      </c>
      <c r="E87" s="360" t="s">
        <v>148</v>
      </c>
      <c r="F87" s="361"/>
      <c r="G87" s="361"/>
      <c r="H87" s="361"/>
      <c r="I87" s="362"/>
      <c r="J87" s="316">
        <v>481</v>
      </c>
      <c r="K87" s="363" t="s">
        <v>147</v>
      </c>
      <c r="L87" s="364">
        <v>500</v>
      </c>
      <c r="M87" s="365">
        <v>240500</v>
      </c>
      <c r="N87" s="366"/>
      <c r="O87" s="367">
        <v>0</v>
      </c>
      <c r="P87" s="368"/>
      <c r="Q87" s="369">
        <f t="shared" ref="Q87:Q106" si="10">SUM(M87+O87)</f>
        <v>240500</v>
      </c>
      <c r="R87" s="370"/>
      <c r="S87" s="71"/>
      <c r="T87" s="71"/>
      <c r="U87" s="71"/>
    </row>
    <row r="88" spans="1:21" ht="15.75">
      <c r="A88" s="304"/>
      <c r="B88" s="304"/>
      <c r="C88" s="305"/>
      <c r="D88" s="359" t="s">
        <v>32</v>
      </c>
      <c r="E88" s="360" t="s">
        <v>149</v>
      </c>
      <c r="F88" s="361"/>
      <c r="G88" s="361"/>
      <c r="H88" s="361"/>
      <c r="I88" s="362"/>
      <c r="J88" s="316">
        <v>117</v>
      </c>
      <c r="K88" s="363" t="s">
        <v>147</v>
      </c>
      <c r="L88" s="364">
        <v>150</v>
      </c>
      <c r="M88" s="322">
        <v>17600</v>
      </c>
      <c r="N88" s="321"/>
      <c r="O88" s="322">
        <v>8400</v>
      </c>
      <c r="P88" s="321"/>
      <c r="Q88" s="371">
        <f t="shared" si="10"/>
        <v>26000</v>
      </c>
      <c r="R88" s="372"/>
      <c r="S88" s="71"/>
      <c r="T88" s="71"/>
      <c r="U88" s="71"/>
    </row>
    <row r="89" spans="1:21" ht="15.75">
      <c r="A89" s="304"/>
      <c r="B89" s="304"/>
      <c r="C89" s="305"/>
      <c r="D89" s="359" t="s">
        <v>43</v>
      </c>
      <c r="E89" s="360" t="s">
        <v>150</v>
      </c>
      <c r="F89" s="361"/>
      <c r="G89" s="361"/>
      <c r="H89" s="361"/>
      <c r="I89" s="362"/>
      <c r="J89" s="316">
        <v>128</v>
      </c>
      <c r="K89" s="363" t="s">
        <v>147</v>
      </c>
      <c r="L89" s="364">
        <v>150</v>
      </c>
      <c r="M89" s="365">
        <v>19200</v>
      </c>
      <c r="N89" s="366"/>
      <c r="O89" s="367">
        <v>6900</v>
      </c>
      <c r="P89" s="368"/>
      <c r="Q89" s="369">
        <f t="shared" si="10"/>
        <v>26100</v>
      </c>
      <c r="R89" s="370"/>
      <c r="S89" s="71"/>
      <c r="T89" s="71"/>
      <c r="U89" s="71"/>
    </row>
    <row r="90" spans="1:21" ht="15.75">
      <c r="A90" s="304"/>
      <c r="B90" s="304"/>
      <c r="C90" s="305"/>
      <c r="D90" s="359" t="s">
        <v>46</v>
      </c>
      <c r="E90" s="360" t="s">
        <v>151</v>
      </c>
      <c r="F90" s="361"/>
      <c r="G90" s="361"/>
      <c r="H90" s="361"/>
      <c r="I90" s="362"/>
      <c r="J90" s="316">
        <v>80</v>
      </c>
      <c r="K90" s="363" t="s">
        <v>147</v>
      </c>
      <c r="L90" s="364">
        <v>100</v>
      </c>
      <c r="M90" s="365">
        <v>8000</v>
      </c>
      <c r="N90" s="366"/>
      <c r="O90" s="367">
        <v>600</v>
      </c>
      <c r="P90" s="368"/>
      <c r="Q90" s="369">
        <f t="shared" si="10"/>
        <v>8600</v>
      </c>
      <c r="R90" s="370"/>
      <c r="S90" s="71"/>
      <c r="T90" s="71"/>
      <c r="U90" s="71"/>
    </row>
    <row r="91" spans="1:21" ht="15.75">
      <c r="A91" s="304"/>
      <c r="B91" s="304"/>
      <c r="C91" s="305"/>
      <c r="D91" s="359" t="s">
        <v>49</v>
      </c>
      <c r="E91" s="360" t="s">
        <v>152</v>
      </c>
      <c r="F91" s="361"/>
      <c r="G91" s="361"/>
      <c r="H91" s="361"/>
      <c r="I91" s="362"/>
      <c r="J91" s="316">
        <v>43</v>
      </c>
      <c r="K91" s="363" t="s">
        <v>147</v>
      </c>
      <c r="L91" s="364">
        <v>100</v>
      </c>
      <c r="M91" s="365">
        <v>4300</v>
      </c>
      <c r="N91" s="366"/>
      <c r="O91" s="367">
        <v>3100</v>
      </c>
      <c r="P91" s="368"/>
      <c r="Q91" s="369">
        <f t="shared" si="10"/>
        <v>7400</v>
      </c>
      <c r="R91" s="370"/>
      <c r="S91" s="71"/>
      <c r="T91" s="71"/>
      <c r="U91" s="71"/>
    </row>
    <row r="92" spans="1:21" ht="15.75">
      <c r="A92" s="304"/>
      <c r="B92" s="304"/>
      <c r="C92" s="305"/>
      <c r="D92" s="359" t="s">
        <v>65</v>
      </c>
      <c r="E92" s="360" t="s">
        <v>153</v>
      </c>
      <c r="F92" s="361"/>
      <c r="G92" s="361"/>
      <c r="H92" s="361"/>
      <c r="I92" s="362"/>
      <c r="J92" s="316">
        <v>42</v>
      </c>
      <c r="K92" s="363" t="s">
        <v>147</v>
      </c>
      <c r="L92" s="364">
        <v>150</v>
      </c>
      <c r="M92" s="365">
        <v>6300</v>
      </c>
      <c r="N92" s="366"/>
      <c r="O92" s="367">
        <v>1200</v>
      </c>
      <c r="P92" s="368"/>
      <c r="Q92" s="369">
        <f t="shared" si="10"/>
        <v>7500</v>
      </c>
      <c r="R92" s="370"/>
      <c r="S92" s="71"/>
      <c r="T92" s="71"/>
      <c r="U92" s="71"/>
    </row>
    <row r="93" spans="1:21" ht="15.75">
      <c r="A93" s="304"/>
      <c r="B93" s="304"/>
      <c r="C93" s="305"/>
      <c r="D93" s="359" t="s">
        <v>67</v>
      </c>
      <c r="E93" s="360" t="s">
        <v>154</v>
      </c>
      <c r="F93" s="361"/>
      <c r="G93" s="361"/>
      <c r="H93" s="361"/>
      <c r="I93" s="362"/>
      <c r="J93" s="316">
        <v>0</v>
      </c>
      <c r="K93" s="363" t="s">
        <v>147</v>
      </c>
      <c r="L93" s="364">
        <v>100</v>
      </c>
      <c r="M93" s="365">
        <v>0</v>
      </c>
      <c r="N93" s="366"/>
      <c r="O93" s="367">
        <v>500</v>
      </c>
      <c r="P93" s="368"/>
      <c r="Q93" s="369">
        <f t="shared" si="10"/>
        <v>500</v>
      </c>
      <c r="R93" s="370"/>
      <c r="S93" s="71"/>
      <c r="T93" s="71"/>
      <c r="U93" s="71"/>
    </row>
    <row r="94" spans="1:21" ht="15.75">
      <c r="A94" s="304"/>
      <c r="B94" s="304"/>
      <c r="C94" s="305"/>
      <c r="D94" s="359" t="s">
        <v>69</v>
      </c>
      <c r="E94" s="360" t="s">
        <v>155</v>
      </c>
      <c r="F94" s="361"/>
      <c r="G94" s="361"/>
      <c r="H94" s="361"/>
      <c r="I94" s="362"/>
      <c r="J94" s="316">
        <v>0</v>
      </c>
      <c r="K94" s="363" t="s">
        <v>147</v>
      </c>
      <c r="L94" s="364">
        <v>100</v>
      </c>
      <c r="M94" s="365">
        <v>0</v>
      </c>
      <c r="N94" s="366"/>
      <c r="O94" s="367">
        <v>2100</v>
      </c>
      <c r="P94" s="368"/>
      <c r="Q94" s="369">
        <f t="shared" si="10"/>
        <v>2100</v>
      </c>
      <c r="R94" s="370"/>
      <c r="S94" s="71"/>
      <c r="T94" s="71"/>
      <c r="U94" s="71"/>
    </row>
    <row r="95" spans="1:21" ht="15.75">
      <c r="A95" s="304"/>
      <c r="B95" s="304"/>
      <c r="C95" s="305"/>
      <c r="D95" s="359" t="s">
        <v>71</v>
      </c>
      <c r="E95" s="360" t="s">
        <v>156</v>
      </c>
      <c r="F95" s="361"/>
      <c r="G95" s="361"/>
      <c r="H95" s="361"/>
      <c r="I95" s="362"/>
      <c r="J95" s="316">
        <v>0</v>
      </c>
      <c r="K95" s="363" t="s">
        <v>147</v>
      </c>
      <c r="L95" s="364">
        <v>100</v>
      </c>
      <c r="M95" s="365">
        <v>0</v>
      </c>
      <c r="N95" s="366"/>
      <c r="O95" s="367">
        <v>4500</v>
      </c>
      <c r="P95" s="368"/>
      <c r="Q95" s="369">
        <f t="shared" si="10"/>
        <v>4500</v>
      </c>
      <c r="R95" s="370"/>
      <c r="S95" s="71"/>
      <c r="T95" s="71"/>
      <c r="U95" s="71"/>
    </row>
    <row r="96" spans="1:21" ht="15.75">
      <c r="A96" s="304"/>
      <c r="B96" s="304"/>
      <c r="C96" s="305"/>
      <c r="D96" s="359" t="s">
        <v>89</v>
      </c>
      <c r="E96" s="360" t="s">
        <v>157</v>
      </c>
      <c r="F96" s="361"/>
      <c r="G96" s="361"/>
      <c r="H96" s="361"/>
      <c r="I96" s="362"/>
      <c r="J96" s="316">
        <v>0</v>
      </c>
      <c r="K96" s="363" t="s">
        <v>147</v>
      </c>
      <c r="L96" s="364">
        <v>100</v>
      </c>
      <c r="M96" s="365">
        <v>0</v>
      </c>
      <c r="N96" s="366"/>
      <c r="O96" s="367">
        <v>2500</v>
      </c>
      <c r="P96" s="368"/>
      <c r="Q96" s="369">
        <f t="shared" si="10"/>
        <v>2500</v>
      </c>
      <c r="R96" s="370"/>
      <c r="S96" s="71"/>
      <c r="T96" s="71"/>
      <c r="U96" s="71"/>
    </row>
    <row r="97" spans="1:21" ht="15.75">
      <c r="A97" s="304"/>
      <c r="B97" s="304"/>
      <c r="C97" s="305"/>
      <c r="D97" s="359" t="s">
        <v>91</v>
      </c>
      <c r="E97" s="360" t="s">
        <v>158</v>
      </c>
      <c r="F97" s="361"/>
      <c r="G97" s="361"/>
      <c r="H97" s="361"/>
      <c r="I97" s="362"/>
      <c r="J97" s="316">
        <v>0</v>
      </c>
      <c r="K97" s="363" t="s">
        <v>147</v>
      </c>
      <c r="L97" s="364">
        <v>100</v>
      </c>
      <c r="M97" s="365">
        <v>0</v>
      </c>
      <c r="N97" s="366"/>
      <c r="O97" s="367">
        <v>500</v>
      </c>
      <c r="P97" s="368"/>
      <c r="Q97" s="369">
        <f t="shared" si="10"/>
        <v>500</v>
      </c>
      <c r="R97" s="370"/>
      <c r="S97" s="71"/>
      <c r="T97" s="71"/>
      <c r="U97" s="71"/>
    </row>
    <row r="98" spans="1:21" ht="15.75">
      <c r="A98" s="304"/>
      <c r="B98" s="304"/>
      <c r="C98" s="305"/>
      <c r="D98" s="359" t="s">
        <v>93</v>
      </c>
      <c r="E98" s="360" t="s">
        <v>159</v>
      </c>
      <c r="F98" s="361"/>
      <c r="G98" s="361"/>
      <c r="H98" s="361"/>
      <c r="I98" s="362"/>
      <c r="J98" s="316">
        <v>0</v>
      </c>
      <c r="K98" s="363" t="s">
        <v>147</v>
      </c>
      <c r="L98" s="364">
        <v>100</v>
      </c>
      <c r="M98" s="365">
        <v>0</v>
      </c>
      <c r="N98" s="366"/>
      <c r="O98" s="367">
        <v>1800</v>
      </c>
      <c r="P98" s="368"/>
      <c r="Q98" s="369">
        <f t="shared" si="10"/>
        <v>1800</v>
      </c>
      <c r="R98" s="370"/>
      <c r="S98" s="71"/>
      <c r="T98" s="71"/>
      <c r="U98" s="71"/>
    </row>
    <row r="99" spans="1:21" ht="15.75">
      <c r="A99" s="304"/>
      <c r="B99" s="304"/>
      <c r="C99" s="305"/>
      <c r="D99" s="359" t="s">
        <v>95</v>
      </c>
      <c r="E99" s="360" t="s">
        <v>160</v>
      </c>
      <c r="F99" s="361"/>
      <c r="G99" s="361"/>
      <c r="H99" s="361"/>
      <c r="I99" s="362"/>
      <c r="J99" s="316">
        <v>0</v>
      </c>
      <c r="K99" s="363" t="s">
        <v>147</v>
      </c>
      <c r="L99" s="364">
        <v>100</v>
      </c>
      <c r="M99" s="365">
        <v>0</v>
      </c>
      <c r="N99" s="366"/>
      <c r="O99" s="367">
        <v>1000</v>
      </c>
      <c r="P99" s="368"/>
      <c r="Q99" s="369">
        <f t="shared" si="10"/>
        <v>1000</v>
      </c>
      <c r="R99" s="370"/>
      <c r="S99" s="71"/>
      <c r="T99" s="71"/>
      <c r="U99" s="71"/>
    </row>
    <row r="100" spans="1:21" ht="15.75">
      <c r="A100" s="304"/>
      <c r="B100" s="304"/>
      <c r="C100" s="305"/>
      <c r="D100" s="359" t="s">
        <v>97</v>
      </c>
      <c r="E100" s="360" t="s">
        <v>161</v>
      </c>
      <c r="F100" s="361"/>
      <c r="G100" s="361"/>
      <c r="H100" s="361"/>
      <c r="I100" s="362"/>
      <c r="J100" s="316">
        <v>0</v>
      </c>
      <c r="K100" s="363" t="s">
        <v>147</v>
      </c>
      <c r="L100" s="364">
        <v>100</v>
      </c>
      <c r="M100" s="365">
        <v>0</v>
      </c>
      <c r="N100" s="366"/>
      <c r="O100" s="367">
        <v>500</v>
      </c>
      <c r="P100" s="368"/>
      <c r="Q100" s="369">
        <f t="shared" si="10"/>
        <v>500</v>
      </c>
      <c r="R100" s="370"/>
      <c r="S100" s="71"/>
      <c r="T100" s="71"/>
      <c r="U100" s="71"/>
    </row>
    <row r="101" spans="1:21" ht="15.75">
      <c r="A101" s="304"/>
      <c r="B101" s="304"/>
      <c r="C101" s="305"/>
      <c r="D101" s="359" t="s">
        <v>99</v>
      </c>
      <c r="E101" s="360" t="s">
        <v>162</v>
      </c>
      <c r="F101" s="361"/>
      <c r="G101" s="361"/>
      <c r="H101" s="361"/>
      <c r="I101" s="362"/>
      <c r="J101" s="316">
        <v>0</v>
      </c>
      <c r="K101" s="363" t="s">
        <v>147</v>
      </c>
      <c r="L101" s="364">
        <v>100</v>
      </c>
      <c r="M101" s="365">
        <v>0</v>
      </c>
      <c r="N101" s="366"/>
      <c r="O101" s="367">
        <v>1100</v>
      </c>
      <c r="P101" s="368"/>
      <c r="Q101" s="369">
        <f t="shared" si="10"/>
        <v>1100</v>
      </c>
      <c r="R101" s="370"/>
      <c r="S101" s="71"/>
      <c r="T101" s="71"/>
      <c r="U101" s="71"/>
    </row>
    <row r="102" spans="1:21" ht="15.75">
      <c r="A102" s="304"/>
      <c r="B102" s="304"/>
      <c r="C102" s="305"/>
      <c r="D102" s="359" t="s">
        <v>101</v>
      </c>
      <c r="E102" s="360" t="s">
        <v>163</v>
      </c>
      <c r="F102" s="361"/>
      <c r="G102" s="361"/>
      <c r="H102" s="361"/>
      <c r="I102" s="362"/>
      <c r="J102" s="316">
        <v>0</v>
      </c>
      <c r="K102" s="363" t="s">
        <v>147</v>
      </c>
      <c r="L102" s="364">
        <v>100</v>
      </c>
      <c r="M102" s="365">
        <v>0</v>
      </c>
      <c r="N102" s="366"/>
      <c r="O102" s="367">
        <v>300</v>
      </c>
      <c r="P102" s="368"/>
      <c r="Q102" s="369">
        <f t="shared" si="10"/>
        <v>300</v>
      </c>
      <c r="R102" s="370"/>
      <c r="S102" s="71"/>
      <c r="T102" s="71"/>
      <c r="U102" s="71"/>
    </row>
    <row r="103" spans="1:21" ht="15.75">
      <c r="A103" s="304"/>
      <c r="B103" s="304"/>
      <c r="C103" s="305"/>
      <c r="D103" s="359" t="s">
        <v>103</v>
      </c>
      <c r="E103" s="360" t="s">
        <v>164</v>
      </c>
      <c r="F103" s="361"/>
      <c r="G103" s="361"/>
      <c r="H103" s="361"/>
      <c r="I103" s="362"/>
      <c r="J103" s="316">
        <v>0</v>
      </c>
      <c r="K103" s="363" t="s">
        <v>147</v>
      </c>
      <c r="L103" s="364">
        <v>100</v>
      </c>
      <c r="M103" s="365">
        <v>0</v>
      </c>
      <c r="N103" s="366"/>
      <c r="O103" s="367">
        <v>500</v>
      </c>
      <c r="P103" s="368"/>
      <c r="Q103" s="369">
        <f t="shared" si="10"/>
        <v>500</v>
      </c>
      <c r="R103" s="370"/>
      <c r="S103" s="71"/>
      <c r="T103" s="71"/>
      <c r="U103" s="71"/>
    </row>
    <row r="104" spans="1:21" ht="15.75">
      <c r="A104" s="304"/>
      <c r="B104" s="304"/>
      <c r="C104" s="305"/>
      <c r="D104" s="359" t="s">
        <v>165</v>
      </c>
      <c r="E104" s="360" t="s">
        <v>166</v>
      </c>
      <c r="F104" s="361"/>
      <c r="G104" s="361"/>
      <c r="H104" s="361"/>
      <c r="I104" s="362"/>
      <c r="J104" s="316">
        <v>0</v>
      </c>
      <c r="K104" s="363" t="s">
        <v>147</v>
      </c>
      <c r="L104" s="364">
        <v>100</v>
      </c>
      <c r="M104" s="365">
        <v>0</v>
      </c>
      <c r="N104" s="366"/>
      <c r="O104" s="367">
        <v>2000</v>
      </c>
      <c r="P104" s="368"/>
      <c r="Q104" s="369">
        <f t="shared" si="10"/>
        <v>2000</v>
      </c>
      <c r="R104" s="370"/>
      <c r="S104" s="71"/>
      <c r="T104" s="71"/>
      <c r="U104" s="71"/>
    </row>
    <row r="105" spans="1:21" ht="15.75">
      <c r="A105" s="304"/>
      <c r="B105" s="304"/>
      <c r="C105" s="305"/>
      <c r="D105" s="359" t="s">
        <v>167</v>
      </c>
      <c r="E105" s="360" t="s">
        <v>168</v>
      </c>
      <c r="F105" s="361"/>
      <c r="G105" s="361"/>
      <c r="H105" s="361"/>
      <c r="I105" s="362"/>
      <c r="J105" s="316">
        <v>0</v>
      </c>
      <c r="K105" s="363" t="s">
        <v>147</v>
      </c>
      <c r="L105" s="364">
        <v>100</v>
      </c>
      <c r="M105" s="365">
        <v>0</v>
      </c>
      <c r="N105" s="366"/>
      <c r="O105" s="367">
        <v>500</v>
      </c>
      <c r="P105" s="368"/>
      <c r="Q105" s="369">
        <f t="shared" si="10"/>
        <v>500</v>
      </c>
      <c r="R105" s="370"/>
      <c r="S105" s="71"/>
      <c r="T105" s="71"/>
      <c r="U105" s="71"/>
    </row>
    <row r="106" spans="1:21" ht="16.5" thickBot="1">
      <c r="A106" s="304"/>
      <c r="B106" s="304"/>
      <c r="C106" s="305"/>
      <c r="D106" s="373" t="s">
        <v>169</v>
      </c>
      <c r="E106" s="374" t="s">
        <v>170</v>
      </c>
      <c r="F106" s="375"/>
      <c r="G106" s="375"/>
      <c r="H106" s="375"/>
      <c r="I106" s="376"/>
      <c r="J106" s="323">
        <v>0</v>
      </c>
      <c r="K106" s="377" t="s">
        <v>147</v>
      </c>
      <c r="L106" s="378">
        <v>0</v>
      </c>
      <c r="M106" s="379">
        <v>0</v>
      </c>
      <c r="N106" s="380"/>
      <c r="O106" s="381">
        <v>0</v>
      </c>
      <c r="P106" s="382"/>
      <c r="Q106" s="383">
        <f t="shared" si="10"/>
        <v>0</v>
      </c>
      <c r="R106" s="384"/>
      <c r="S106" s="71"/>
      <c r="T106" s="71"/>
      <c r="U106" s="71"/>
    </row>
    <row r="107" spans="1:21" ht="19.5" thickBot="1">
      <c r="A107" s="296"/>
      <c r="B107" s="296"/>
      <c r="C107" s="296"/>
      <c r="D107" s="296"/>
      <c r="E107" s="385" t="s">
        <v>140</v>
      </c>
      <c r="F107" s="386"/>
      <c r="G107" s="386"/>
      <c r="H107" s="386"/>
      <c r="I107" s="387"/>
      <c r="J107" s="388">
        <f>SUM(J86:J106)</f>
        <v>927</v>
      </c>
      <c r="K107" s="389"/>
      <c r="L107" s="390"/>
      <c r="M107" s="391">
        <f>SUM(M86:N106)</f>
        <v>301300</v>
      </c>
      <c r="N107" s="392"/>
      <c r="O107" s="393">
        <f>SUM(O86:P106)</f>
        <v>38400</v>
      </c>
      <c r="P107" s="394"/>
      <c r="Q107" s="393">
        <f>SUM(Q86:R106)</f>
        <v>339700</v>
      </c>
      <c r="R107" s="394"/>
      <c r="S107" s="71"/>
      <c r="T107" s="71"/>
      <c r="U107" s="71"/>
    </row>
    <row r="108" spans="1:21" ht="15.75" thickBot="1">
      <c r="A108" s="296"/>
      <c r="B108" s="296"/>
      <c r="C108" s="296"/>
      <c r="D108" s="296"/>
      <c r="E108" s="296"/>
      <c r="F108" s="296"/>
      <c r="G108" s="296"/>
      <c r="H108" s="296"/>
      <c r="I108" s="296"/>
      <c r="J108" s="296"/>
      <c r="K108" s="296"/>
      <c r="L108" s="296"/>
      <c r="M108" s="296"/>
      <c r="N108" s="296"/>
      <c r="O108" s="296"/>
      <c r="P108" s="296"/>
      <c r="Q108" s="296"/>
      <c r="R108" s="296"/>
      <c r="S108" s="296"/>
      <c r="T108" s="71"/>
      <c r="U108" s="71"/>
    </row>
    <row r="109" spans="1:21" ht="19.5" thickBot="1">
      <c r="A109" s="292" t="s">
        <v>171</v>
      </c>
      <c r="B109" s="338" t="s">
        <v>172</v>
      </c>
      <c r="C109" s="2"/>
      <c r="D109" s="395"/>
      <c r="E109" s="396"/>
      <c r="F109" s="396"/>
      <c r="G109" s="396"/>
      <c r="H109" s="396"/>
      <c r="I109" s="397"/>
      <c r="J109" s="397"/>
      <c r="K109" s="396"/>
      <c r="L109" s="398"/>
      <c r="M109" s="71"/>
      <c r="N109" s="71"/>
      <c r="O109" s="71"/>
      <c r="P109" s="71"/>
      <c r="Q109" s="71"/>
      <c r="R109" s="71"/>
      <c r="S109" s="71"/>
      <c r="T109" s="71"/>
      <c r="U109" s="71"/>
    </row>
    <row r="110" spans="1:21" ht="15.75" thickBot="1">
      <c r="A110" s="304"/>
      <c r="B110" s="304"/>
      <c r="C110" s="304"/>
      <c r="D110" s="399" t="s">
        <v>28</v>
      </c>
      <c r="E110" s="400" t="s">
        <v>173</v>
      </c>
      <c r="F110" s="401"/>
      <c r="G110" s="401"/>
      <c r="H110" s="401"/>
      <c r="I110" s="401"/>
      <c r="J110" s="401"/>
      <c r="K110" s="402"/>
      <c r="L110" s="403">
        <v>8000</v>
      </c>
      <c r="M110" s="404"/>
      <c r="N110" s="71"/>
      <c r="O110" s="71"/>
      <c r="P110" s="71"/>
      <c r="Q110" s="71"/>
      <c r="R110" s="71"/>
      <c r="S110" s="71"/>
      <c r="T110" s="71"/>
      <c r="U110" s="71"/>
    </row>
    <row r="111" spans="1:21" ht="17.25" thickBot="1">
      <c r="A111" s="405"/>
      <c r="B111" s="405"/>
      <c r="C111" s="406"/>
      <c r="D111" s="406"/>
      <c r="E111" s="407" t="s">
        <v>140</v>
      </c>
      <c r="F111" s="408"/>
      <c r="G111" s="408"/>
      <c r="H111" s="408"/>
      <c r="I111" s="408"/>
      <c r="J111" s="408"/>
      <c r="K111" s="408"/>
      <c r="L111" s="407">
        <f>SUM(L110:M110)</f>
        <v>8000</v>
      </c>
      <c r="M111" s="409"/>
      <c r="N111" s="71"/>
      <c r="O111" s="71"/>
      <c r="P111" s="71"/>
      <c r="Q111" s="71"/>
      <c r="R111" s="71"/>
      <c r="S111" s="71"/>
      <c r="T111" s="71"/>
      <c r="U111" s="71"/>
    </row>
    <row r="112" spans="1:21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</row>
    <row r="113" spans="1:21" ht="15.75" thickBot="1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</row>
    <row r="114" spans="1:21" ht="19.5" thickBot="1">
      <c r="A114" s="292" t="s">
        <v>174</v>
      </c>
      <c r="B114" s="338" t="s">
        <v>175</v>
      </c>
      <c r="C114" s="339"/>
      <c r="D114" s="410"/>
      <c r="E114" s="396"/>
      <c r="F114" s="396"/>
      <c r="G114" s="396"/>
      <c r="H114" s="396"/>
      <c r="I114" s="396"/>
      <c r="J114" s="396"/>
      <c r="K114" s="396"/>
      <c r="L114" s="411"/>
      <c r="M114" s="71"/>
      <c r="N114" s="71"/>
      <c r="O114" s="71"/>
      <c r="P114" s="71"/>
      <c r="Q114" s="71"/>
      <c r="R114" s="71"/>
      <c r="S114" s="71"/>
      <c r="T114" s="71"/>
      <c r="U114" s="71"/>
    </row>
    <row r="115" spans="1:21">
      <c r="A115" s="297"/>
      <c r="B115" s="297"/>
      <c r="C115" s="304"/>
      <c r="D115" s="412" t="s">
        <v>28</v>
      </c>
      <c r="E115" s="413" t="s">
        <v>176</v>
      </c>
      <c r="F115" s="414"/>
      <c r="G115" s="414"/>
      <c r="H115" s="414"/>
      <c r="I115" s="414"/>
      <c r="J115" s="414"/>
      <c r="K115" s="414"/>
      <c r="L115" s="415">
        <v>6110</v>
      </c>
      <c r="M115" s="416"/>
      <c r="N115" s="71"/>
      <c r="O115" s="71"/>
      <c r="P115" s="71"/>
      <c r="Q115" s="71"/>
      <c r="R115" s="71"/>
      <c r="S115" s="71"/>
      <c r="T115" s="71"/>
      <c r="U115" s="71"/>
    </row>
    <row r="116" spans="1:21">
      <c r="A116" s="297"/>
      <c r="B116" s="297"/>
      <c r="C116" s="417"/>
      <c r="D116" s="418" t="s">
        <v>30</v>
      </c>
      <c r="E116" s="317" t="s">
        <v>177</v>
      </c>
      <c r="F116" s="318"/>
      <c r="G116" s="318"/>
      <c r="H116" s="318"/>
      <c r="I116" s="318"/>
      <c r="J116" s="318"/>
      <c r="K116" s="318"/>
      <c r="L116" s="369">
        <v>1000</v>
      </c>
      <c r="M116" s="419"/>
      <c r="N116" s="71"/>
      <c r="O116" s="71"/>
      <c r="P116" s="71"/>
      <c r="Q116" s="71"/>
      <c r="R116" s="71"/>
      <c r="S116" s="71"/>
      <c r="T116" s="71"/>
      <c r="U116" s="71"/>
    </row>
    <row r="117" spans="1:21">
      <c r="A117" s="297"/>
      <c r="B117" s="297"/>
      <c r="C117" s="417"/>
      <c r="D117" s="418" t="s">
        <v>32</v>
      </c>
      <c r="E117" s="317" t="s">
        <v>178</v>
      </c>
      <c r="F117" s="318"/>
      <c r="G117" s="318"/>
      <c r="H117" s="318"/>
      <c r="I117" s="318"/>
      <c r="J117" s="318"/>
      <c r="K117" s="318"/>
      <c r="L117" s="369">
        <v>4000</v>
      </c>
      <c r="M117" s="419"/>
      <c r="N117" s="71"/>
      <c r="O117" s="71"/>
      <c r="P117" s="71"/>
      <c r="Q117" s="71"/>
      <c r="R117" s="71"/>
      <c r="S117" s="71"/>
      <c r="T117" s="71"/>
      <c r="U117" s="71"/>
    </row>
    <row r="118" spans="1:21">
      <c r="A118" s="297"/>
      <c r="B118" s="297"/>
      <c r="C118" s="417"/>
      <c r="D118" s="418" t="s">
        <v>43</v>
      </c>
      <c r="E118" s="317" t="s">
        <v>179</v>
      </c>
      <c r="F118" s="318"/>
      <c r="G118" s="318"/>
      <c r="H118" s="318"/>
      <c r="I118" s="318"/>
      <c r="J118" s="318"/>
      <c r="K118" s="318"/>
      <c r="L118" s="369">
        <v>800</v>
      </c>
      <c r="M118" s="419"/>
      <c r="N118" s="71"/>
      <c r="O118" s="71"/>
      <c r="P118" s="71"/>
      <c r="Q118" s="71"/>
      <c r="R118" s="71"/>
      <c r="S118" s="71"/>
      <c r="T118" s="71"/>
      <c r="U118" s="71"/>
    </row>
    <row r="119" spans="1:21">
      <c r="A119" s="297"/>
      <c r="B119" s="297"/>
      <c r="C119" s="417"/>
      <c r="D119" s="418" t="s">
        <v>46</v>
      </c>
      <c r="E119" s="317" t="s">
        <v>180</v>
      </c>
      <c r="F119" s="318"/>
      <c r="G119" s="318"/>
      <c r="H119" s="318"/>
      <c r="I119" s="318"/>
      <c r="J119" s="318"/>
      <c r="K119" s="318"/>
      <c r="L119" s="369">
        <v>1950</v>
      </c>
      <c r="M119" s="419"/>
      <c r="N119" s="71"/>
      <c r="O119" s="71"/>
      <c r="P119" s="71"/>
      <c r="Q119" s="71"/>
      <c r="R119" s="71"/>
      <c r="S119" s="71"/>
      <c r="T119" s="71"/>
      <c r="U119" s="71"/>
    </row>
    <row r="120" spans="1:21">
      <c r="A120" s="297"/>
      <c r="B120" s="297"/>
      <c r="C120" s="417"/>
      <c r="D120" s="418" t="s">
        <v>49</v>
      </c>
      <c r="E120" s="317" t="s">
        <v>181</v>
      </c>
      <c r="F120" s="318"/>
      <c r="G120" s="318"/>
      <c r="H120" s="318"/>
      <c r="I120" s="318"/>
      <c r="J120" s="318"/>
      <c r="K120" s="318"/>
      <c r="L120" s="369">
        <v>800</v>
      </c>
      <c r="M120" s="419"/>
      <c r="N120" s="71"/>
      <c r="O120" s="71"/>
      <c r="P120" s="71"/>
      <c r="Q120" s="71"/>
      <c r="R120" s="71"/>
      <c r="S120" s="71"/>
      <c r="T120" s="71"/>
      <c r="U120" s="71"/>
    </row>
    <row r="121" spans="1:21" ht="15.75" thickBot="1">
      <c r="A121" s="297"/>
      <c r="B121" s="297"/>
      <c r="C121" s="417"/>
      <c r="D121" s="420" t="s">
        <v>65</v>
      </c>
      <c r="E121" s="421" t="s">
        <v>182</v>
      </c>
      <c r="F121" s="422"/>
      <c r="G121" s="422"/>
      <c r="H121" s="422"/>
      <c r="I121" s="422"/>
      <c r="J121" s="422"/>
      <c r="K121" s="423"/>
      <c r="L121" s="424">
        <v>800</v>
      </c>
      <c r="M121" s="425"/>
      <c r="N121" s="71"/>
      <c r="O121" s="71"/>
      <c r="P121" s="71"/>
      <c r="Q121" s="71"/>
      <c r="R121" s="71"/>
      <c r="S121" s="71"/>
      <c r="T121" s="71"/>
      <c r="U121" s="71"/>
    </row>
    <row r="122" spans="1:21" ht="17.25" thickBot="1">
      <c r="A122" s="297"/>
      <c r="B122" s="297"/>
      <c r="C122" s="417"/>
      <c r="D122" s="406"/>
      <c r="E122" s="407" t="s">
        <v>140</v>
      </c>
      <c r="F122" s="408"/>
      <c r="G122" s="408"/>
      <c r="H122" s="408"/>
      <c r="I122" s="408"/>
      <c r="J122" s="408"/>
      <c r="K122" s="409"/>
      <c r="L122" s="426">
        <f>SUM(L115:M121)</f>
        <v>15460</v>
      </c>
      <c r="M122" s="427"/>
      <c r="N122" s="71"/>
      <c r="O122" s="71"/>
      <c r="P122" s="71"/>
      <c r="Q122" s="71"/>
      <c r="R122" s="71"/>
      <c r="S122" s="71"/>
      <c r="T122" s="71"/>
      <c r="U122" s="71"/>
    </row>
    <row r="123" spans="1:21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</row>
    <row r="124" spans="1:21" ht="15.75" thickBot="1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</row>
    <row r="125" spans="1:21" ht="19.5" thickBot="1">
      <c r="A125" s="428" t="s">
        <v>183</v>
      </c>
      <c r="B125" s="338" t="s">
        <v>184</v>
      </c>
      <c r="C125" s="339"/>
      <c r="D125" s="410"/>
      <c r="E125" s="396"/>
      <c r="F125" s="396"/>
      <c r="G125" s="396"/>
      <c r="H125" s="396"/>
      <c r="I125" s="429"/>
      <c r="J125" s="396"/>
      <c r="K125" s="396"/>
      <c r="L125" s="411"/>
      <c r="M125" s="79"/>
      <c r="N125" s="79"/>
      <c r="O125" s="79"/>
      <c r="P125" s="79"/>
      <c r="Q125" s="79"/>
      <c r="R125" s="79"/>
      <c r="S125" s="79"/>
      <c r="T125" s="79"/>
      <c r="U125" s="79"/>
    </row>
    <row r="126" spans="1:21" ht="15.75" thickBot="1">
      <c r="A126" s="297"/>
      <c r="B126" s="297"/>
      <c r="C126" s="304"/>
      <c r="D126" s="399" t="s">
        <v>28</v>
      </c>
      <c r="E126" s="400" t="s">
        <v>185</v>
      </c>
      <c r="F126" s="401"/>
      <c r="G126" s="401"/>
      <c r="H126" s="401"/>
      <c r="I126" s="401"/>
      <c r="J126" s="401"/>
      <c r="K126" s="402"/>
      <c r="L126" s="430">
        <v>30</v>
      </c>
      <c r="M126" s="431"/>
      <c r="N126" s="71"/>
      <c r="O126" s="71"/>
      <c r="P126" s="71"/>
      <c r="Q126" s="71"/>
      <c r="R126" s="71"/>
      <c r="S126" s="71"/>
      <c r="T126" s="71"/>
      <c r="U126" s="71"/>
    </row>
    <row r="127" spans="1:21" ht="17.25" thickBot="1">
      <c r="A127" s="297"/>
      <c r="B127" s="297"/>
      <c r="C127" s="417"/>
      <c r="D127" s="406"/>
      <c r="E127" s="407" t="s">
        <v>140</v>
      </c>
      <c r="F127" s="408"/>
      <c r="G127" s="408"/>
      <c r="H127" s="408"/>
      <c r="I127" s="408"/>
      <c r="J127" s="408"/>
      <c r="K127" s="408"/>
      <c r="L127" s="426">
        <f>SUM(L126:M126)</f>
        <v>30</v>
      </c>
      <c r="M127" s="427"/>
      <c r="N127" s="71"/>
      <c r="O127" s="71"/>
      <c r="P127" s="71"/>
      <c r="Q127" s="71"/>
      <c r="R127" s="71"/>
      <c r="S127" s="71"/>
      <c r="T127" s="71"/>
      <c r="U127" s="71"/>
    </row>
    <row r="128" spans="1:21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</row>
    <row r="129" spans="1:21" ht="15.75" thickBot="1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432"/>
      <c r="O129" s="432"/>
      <c r="P129" s="433"/>
      <c r="Q129" s="71"/>
      <c r="R129" s="71"/>
      <c r="S129" s="71"/>
      <c r="T129" s="71"/>
      <c r="U129" s="71"/>
    </row>
    <row r="130" spans="1:21" ht="17.25" thickBot="1">
      <c r="A130" s="428" t="s">
        <v>186</v>
      </c>
      <c r="B130" s="434" t="s">
        <v>187</v>
      </c>
      <c r="C130" s="435"/>
      <c r="D130" s="436"/>
      <c r="E130" s="396"/>
      <c r="F130" s="396"/>
      <c r="G130" s="396"/>
      <c r="H130" s="396"/>
      <c r="I130" s="429"/>
      <c r="J130" s="396"/>
      <c r="K130" s="396"/>
      <c r="L130" s="411"/>
      <c r="M130" s="396"/>
      <c r="N130" s="437" t="s">
        <v>188</v>
      </c>
      <c r="O130" s="438" t="s">
        <v>189</v>
      </c>
      <c r="P130" s="438" t="s">
        <v>190</v>
      </c>
      <c r="Q130" s="71"/>
      <c r="R130" s="71"/>
      <c r="S130" s="71"/>
      <c r="T130" s="71"/>
      <c r="U130" s="71"/>
    </row>
    <row r="131" spans="1:21">
      <c r="A131" s="297"/>
      <c r="B131" s="297"/>
      <c r="C131" s="304"/>
      <c r="D131" s="439" t="s">
        <v>28</v>
      </c>
      <c r="E131" s="440" t="s">
        <v>191</v>
      </c>
      <c r="F131" s="441"/>
      <c r="G131" s="441"/>
      <c r="H131" s="441"/>
      <c r="I131" s="441"/>
      <c r="J131" s="441"/>
      <c r="K131" s="442"/>
      <c r="L131" s="357">
        <f>SUM(M131:P131)</f>
        <v>49060</v>
      </c>
      <c r="M131" s="358"/>
      <c r="N131" s="443">
        <v>46030</v>
      </c>
      <c r="O131" s="444">
        <v>3030</v>
      </c>
      <c r="P131" s="444">
        <v>0</v>
      </c>
      <c r="Q131" s="445"/>
      <c r="R131" s="71"/>
      <c r="S131" s="71"/>
      <c r="T131" s="71"/>
      <c r="U131" s="71"/>
    </row>
    <row r="132" spans="1:21">
      <c r="A132" s="297"/>
      <c r="B132" s="297"/>
      <c r="C132" s="405"/>
      <c r="D132" s="446" t="s">
        <v>30</v>
      </c>
      <c r="E132" s="447" t="s">
        <v>192</v>
      </c>
      <c r="F132" s="448"/>
      <c r="G132" s="448"/>
      <c r="H132" s="448"/>
      <c r="I132" s="448"/>
      <c r="J132" s="448"/>
      <c r="K132" s="449"/>
      <c r="L132" s="369">
        <v>7000</v>
      </c>
      <c r="M132" s="370"/>
      <c r="N132" s="450"/>
      <c r="O132" s="71"/>
      <c r="P132" s="71"/>
      <c r="Q132" s="71"/>
      <c r="R132" s="71"/>
      <c r="S132" s="71"/>
      <c r="T132" s="71"/>
      <c r="U132" s="71"/>
    </row>
    <row r="133" spans="1:21">
      <c r="A133" s="297"/>
      <c r="B133" s="297"/>
      <c r="C133" s="405"/>
      <c r="D133" s="359" t="s">
        <v>32</v>
      </c>
      <c r="E133" s="447" t="s">
        <v>193</v>
      </c>
      <c r="F133" s="448"/>
      <c r="G133" s="448"/>
      <c r="H133" s="448"/>
      <c r="I133" s="448"/>
      <c r="J133" s="448"/>
      <c r="K133" s="449"/>
      <c r="L133" s="369">
        <v>2500</v>
      </c>
      <c r="M133" s="370"/>
      <c r="N133" s="450"/>
      <c r="O133" s="71"/>
      <c r="P133" s="71"/>
      <c r="Q133" s="71"/>
      <c r="R133" s="71"/>
      <c r="S133" s="71"/>
      <c r="T133" s="71"/>
      <c r="U133" s="71"/>
    </row>
    <row r="134" spans="1:21">
      <c r="A134" s="297"/>
      <c r="B134" s="297"/>
      <c r="C134" s="405"/>
      <c r="D134" s="359" t="s">
        <v>43</v>
      </c>
      <c r="E134" s="451" t="s">
        <v>194</v>
      </c>
      <c r="F134" s="452"/>
      <c r="G134" s="452"/>
      <c r="H134" s="452"/>
      <c r="I134" s="452"/>
      <c r="J134" s="452"/>
      <c r="K134" s="452"/>
      <c r="L134" s="369">
        <v>32000</v>
      </c>
      <c r="M134" s="370"/>
      <c r="N134" s="450"/>
      <c r="O134" s="71"/>
      <c r="P134" s="71"/>
      <c r="Q134" s="71"/>
      <c r="R134" s="71"/>
      <c r="S134" s="71"/>
      <c r="T134" s="71"/>
      <c r="U134" s="71"/>
    </row>
    <row r="135" spans="1:21">
      <c r="A135" s="297"/>
      <c r="B135" s="297"/>
      <c r="C135" s="405"/>
      <c r="D135" s="359" t="s">
        <v>46</v>
      </c>
      <c r="E135" s="451" t="s">
        <v>195</v>
      </c>
      <c r="F135" s="452"/>
      <c r="G135" s="452"/>
      <c r="H135" s="452"/>
      <c r="I135" s="452"/>
      <c r="J135" s="452"/>
      <c r="K135" s="452"/>
      <c r="L135" s="369">
        <v>1350</v>
      </c>
      <c r="M135" s="370"/>
      <c r="N135" s="450"/>
      <c r="O135" s="71"/>
      <c r="P135" s="71"/>
      <c r="Q135" s="71"/>
      <c r="R135" s="71"/>
      <c r="S135" s="71"/>
      <c r="T135" s="71"/>
      <c r="U135" s="71"/>
    </row>
    <row r="136" spans="1:21">
      <c r="A136" s="297"/>
      <c r="B136" s="297"/>
      <c r="C136" s="405"/>
      <c r="D136" s="359" t="s">
        <v>49</v>
      </c>
      <c r="E136" s="451" t="s">
        <v>196</v>
      </c>
      <c r="F136" s="452"/>
      <c r="G136" s="452"/>
      <c r="H136" s="452"/>
      <c r="I136" s="452"/>
      <c r="J136" s="452"/>
      <c r="K136" s="452"/>
      <c r="L136" s="369">
        <v>1000</v>
      </c>
      <c r="M136" s="370"/>
      <c r="N136" s="450"/>
      <c r="O136" s="71"/>
      <c r="P136" s="71"/>
      <c r="Q136" s="71"/>
      <c r="R136" s="71"/>
      <c r="S136" s="71"/>
      <c r="T136" s="71"/>
      <c r="U136" s="71"/>
    </row>
    <row r="137" spans="1:21">
      <c r="A137" s="297"/>
      <c r="B137" s="297"/>
      <c r="C137" s="405"/>
      <c r="D137" s="359" t="s">
        <v>65</v>
      </c>
      <c r="E137" s="451" t="s">
        <v>197</v>
      </c>
      <c r="F137" s="452"/>
      <c r="G137" s="452"/>
      <c r="H137" s="452"/>
      <c r="I137" s="452"/>
      <c r="J137" s="452"/>
      <c r="K137" s="452"/>
      <c r="L137" s="369">
        <v>3000</v>
      </c>
      <c r="M137" s="370"/>
      <c r="N137" s="450"/>
      <c r="O137" s="71"/>
      <c r="P137" s="71"/>
      <c r="Q137" s="71"/>
      <c r="R137" s="71"/>
      <c r="S137" s="71"/>
      <c r="T137" s="71"/>
      <c r="U137" s="71"/>
    </row>
    <row r="138" spans="1:21">
      <c r="A138" s="297"/>
      <c r="B138" s="297"/>
      <c r="C138" s="405"/>
      <c r="D138" s="359" t="s">
        <v>67</v>
      </c>
      <c r="E138" s="451" t="s">
        <v>198</v>
      </c>
      <c r="F138" s="452"/>
      <c r="G138" s="452"/>
      <c r="H138" s="452"/>
      <c r="I138" s="452"/>
      <c r="J138" s="452"/>
      <c r="K138" s="452"/>
      <c r="L138" s="369">
        <v>1000</v>
      </c>
      <c r="M138" s="370"/>
      <c r="N138" s="450"/>
      <c r="O138" s="71"/>
      <c r="P138" s="71"/>
      <c r="Q138" s="71"/>
      <c r="R138" s="71"/>
      <c r="S138" s="71"/>
      <c r="T138" s="71"/>
      <c r="U138" s="71"/>
    </row>
    <row r="139" spans="1:21">
      <c r="A139" s="297"/>
      <c r="B139" s="297"/>
      <c r="C139" s="405"/>
      <c r="D139" s="359" t="s">
        <v>69</v>
      </c>
      <c r="E139" s="451" t="s">
        <v>199</v>
      </c>
      <c r="F139" s="452"/>
      <c r="G139" s="452"/>
      <c r="H139" s="452"/>
      <c r="I139" s="452"/>
      <c r="J139" s="452"/>
      <c r="K139" s="452"/>
      <c r="L139" s="369">
        <v>1500</v>
      </c>
      <c r="M139" s="370"/>
      <c r="N139" s="450"/>
      <c r="O139" s="71"/>
      <c r="P139" s="71"/>
      <c r="Q139" s="71"/>
      <c r="R139" s="71"/>
      <c r="S139" s="71"/>
      <c r="T139" s="71"/>
      <c r="U139" s="71"/>
    </row>
    <row r="140" spans="1:21">
      <c r="A140" s="297"/>
      <c r="B140" s="297"/>
      <c r="C140" s="405"/>
      <c r="D140" s="359" t="s">
        <v>71</v>
      </c>
      <c r="E140" s="451" t="s">
        <v>200</v>
      </c>
      <c r="F140" s="452"/>
      <c r="G140" s="452"/>
      <c r="H140" s="452"/>
      <c r="I140" s="452"/>
      <c r="J140" s="452"/>
      <c r="K140" s="452"/>
      <c r="L140" s="369">
        <v>1500</v>
      </c>
      <c r="M140" s="370"/>
      <c r="N140" s="450"/>
      <c r="O140" s="71"/>
      <c r="P140" s="71"/>
      <c r="Q140" s="71"/>
      <c r="R140" s="71"/>
      <c r="S140" s="71"/>
      <c r="T140" s="71"/>
      <c r="U140" s="71"/>
    </row>
    <row r="141" spans="1:21" ht="15.75" thickBot="1">
      <c r="A141" s="297"/>
      <c r="B141" s="297"/>
      <c r="C141" s="405"/>
      <c r="D141" s="373" t="s">
        <v>89</v>
      </c>
      <c r="E141" s="453" t="s">
        <v>201</v>
      </c>
      <c r="F141" s="454"/>
      <c r="G141" s="454"/>
      <c r="H141" s="454"/>
      <c r="I141" s="454"/>
      <c r="J141" s="454"/>
      <c r="K141" s="454"/>
      <c r="L141" s="383">
        <v>4000</v>
      </c>
      <c r="M141" s="384"/>
      <c r="N141" s="450"/>
      <c r="O141" s="71"/>
      <c r="P141" s="71"/>
      <c r="Q141" s="71"/>
      <c r="R141" s="71"/>
      <c r="S141" s="71"/>
      <c r="T141" s="71"/>
      <c r="U141" s="71"/>
    </row>
    <row r="142" spans="1:21" ht="17.25" thickBot="1">
      <c r="A142" s="297"/>
      <c r="B142" s="297"/>
      <c r="C142" s="405"/>
      <c r="D142" s="455"/>
      <c r="E142" s="407" t="s">
        <v>140</v>
      </c>
      <c r="F142" s="408"/>
      <c r="G142" s="408"/>
      <c r="H142" s="408"/>
      <c r="I142" s="408"/>
      <c r="J142" s="408"/>
      <c r="K142" s="456"/>
      <c r="L142" s="457">
        <f>SUM(L131:M141)</f>
        <v>103910</v>
      </c>
      <c r="M142" s="458"/>
      <c r="N142" s="450"/>
      <c r="O142" s="71"/>
      <c r="P142" s="71"/>
      <c r="Q142" s="71"/>
      <c r="R142" s="71"/>
      <c r="S142" s="71"/>
      <c r="T142" s="71"/>
      <c r="U142" s="71"/>
    </row>
    <row r="143" spans="1:21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</row>
    <row r="144" spans="1:21" ht="15.75" thickBot="1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</row>
    <row r="145" spans="1:21" ht="19.5" thickBot="1">
      <c r="A145" s="428" t="s">
        <v>202</v>
      </c>
      <c r="B145" s="338" t="s">
        <v>104</v>
      </c>
      <c r="C145" s="339"/>
      <c r="D145" s="410"/>
      <c r="E145" s="455"/>
      <c r="F145" s="455"/>
      <c r="G145" s="455"/>
      <c r="H145" s="455"/>
      <c r="I145" s="455"/>
      <c r="J145" s="455"/>
      <c r="K145" s="459"/>
      <c r="L145" s="460"/>
      <c r="M145" s="71"/>
      <c r="N145" s="71"/>
      <c r="O145" s="71"/>
      <c r="P145" s="71"/>
      <c r="Q145" s="71"/>
      <c r="R145" s="71"/>
      <c r="S145" s="71"/>
      <c r="T145" s="71"/>
      <c r="U145" s="71"/>
    </row>
    <row r="146" spans="1:21">
      <c r="A146" s="297"/>
      <c r="B146" s="297"/>
      <c r="C146" s="405"/>
      <c r="D146" s="350" t="s">
        <v>28</v>
      </c>
      <c r="E146" s="461" t="s">
        <v>203</v>
      </c>
      <c r="F146" s="462"/>
      <c r="G146" s="462"/>
      <c r="H146" s="462"/>
      <c r="I146" s="462"/>
      <c r="J146" s="462"/>
      <c r="K146" s="463"/>
      <c r="L146" s="464">
        <v>17000</v>
      </c>
      <c r="M146" s="465"/>
      <c r="N146" s="71"/>
      <c r="O146" s="71"/>
      <c r="P146" s="71"/>
      <c r="Q146" s="71"/>
      <c r="R146" s="71"/>
      <c r="S146" s="71"/>
      <c r="T146" s="71"/>
      <c r="U146" s="71"/>
    </row>
    <row r="147" spans="1:21">
      <c r="A147" s="297"/>
      <c r="B147" s="297"/>
      <c r="C147" s="405"/>
      <c r="D147" s="306" t="s">
        <v>30</v>
      </c>
      <c r="E147" s="451" t="s">
        <v>204</v>
      </c>
      <c r="F147" s="452"/>
      <c r="G147" s="452"/>
      <c r="H147" s="452"/>
      <c r="I147" s="452"/>
      <c r="J147" s="452"/>
      <c r="K147" s="466"/>
      <c r="L147" s="467">
        <v>800</v>
      </c>
      <c r="M147" s="468"/>
      <c r="N147" s="71"/>
      <c r="O147" s="71"/>
      <c r="P147" s="71"/>
      <c r="Q147" s="71"/>
      <c r="R147" s="71"/>
      <c r="S147" s="71"/>
      <c r="T147" s="71"/>
      <c r="U147" s="71"/>
    </row>
    <row r="148" spans="1:21">
      <c r="A148" s="297"/>
      <c r="B148" s="297"/>
      <c r="C148" s="405"/>
      <c r="D148" s="316" t="s">
        <v>32</v>
      </c>
      <c r="E148" s="447" t="s">
        <v>205</v>
      </c>
      <c r="F148" s="448"/>
      <c r="G148" s="448"/>
      <c r="H148" s="448"/>
      <c r="I148" s="448"/>
      <c r="J148" s="448"/>
      <c r="K148" s="469"/>
      <c r="L148" s="470">
        <v>6000</v>
      </c>
      <c r="M148" s="471"/>
      <c r="N148" s="71"/>
      <c r="O148" s="71"/>
      <c r="P148" s="71"/>
      <c r="Q148" s="71"/>
      <c r="R148" s="71"/>
      <c r="S148" s="71"/>
      <c r="T148" s="71"/>
      <c r="U148" s="71"/>
    </row>
    <row r="149" spans="1:21">
      <c r="A149" s="297"/>
      <c r="B149" s="297"/>
      <c r="C149" s="405"/>
      <c r="D149" s="316" t="s">
        <v>43</v>
      </c>
      <c r="E149" s="447" t="s">
        <v>206</v>
      </c>
      <c r="F149" s="448"/>
      <c r="G149" s="448"/>
      <c r="H149" s="448"/>
      <c r="I149" s="448"/>
      <c r="J149" s="448"/>
      <c r="K149" s="469"/>
      <c r="L149" s="470">
        <v>1500</v>
      </c>
      <c r="M149" s="471"/>
      <c r="N149" s="71"/>
      <c r="O149" s="71"/>
      <c r="P149" s="71"/>
      <c r="Q149" s="71"/>
      <c r="R149" s="71"/>
      <c r="S149" s="71"/>
      <c r="T149" s="71"/>
      <c r="U149" s="71"/>
    </row>
    <row r="150" spans="1:21">
      <c r="A150" s="297"/>
      <c r="B150" s="297"/>
      <c r="C150" s="405"/>
      <c r="D150" s="472" t="s">
        <v>46</v>
      </c>
      <c r="E150" s="447" t="s">
        <v>207</v>
      </c>
      <c r="F150" s="448"/>
      <c r="G150" s="448"/>
      <c r="H150" s="448"/>
      <c r="I150" s="448"/>
      <c r="J150" s="448"/>
      <c r="K150" s="469"/>
      <c r="L150" s="467">
        <v>500</v>
      </c>
      <c r="M150" s="468"/>
      <c r="N150" s="71"/>
      <c r="O150" s="71"/>
      <c r="P150" s="71"/>
      <c r="Q150" s="71"/>
      <c r="R150" s="71"/>
      <c r="S150" s="71"/>
      <c r="T150" s="71"/>
      <c r="U150" s="71"/>
    </row>
    <row r="151" spans="1:21">
      <c r="A151" s="297"/>
      <c r="B151" s="297"/>
      <c r="C151" s="405"/>
      <c r="D151" s="472" t="s">
        <v>49</v>
      </c>
      <c r="E151" s="447" t="s">
        <v>208</v>
      </c>
      <c r="F151" s="448"/>
      <c r="G151" s="448"/>
      <c r="H151" s="448"/>
      <c r="I151" s="448"/>
      <c r="J151" s="448"/>
      <c r="K151" s="469"/>
      <c r="L151" s="467">
        <v>1000</v>
      </c>
      <c r="M151" s="468"/>
      <c r="N151" s="71"/>
      <c r="O151" s="71"/>
      <c r="P151" s="71"/>
      <c r="Q151" s="71"/>
      <c r="R151" s="71"/>
      <c r="S151" s="71"/>
      <c r="T151" s="71"/>
      <c r="U151" s="71"/>
    </row>
    <row r="152" spans="1:21">
      <c r="A152" s="297"/>
      <c r="B152" s="297"/>
      <c r="C152" s="405"/>
      <c r="D152" s="472" t="s">
        <v>65</v>
      </c>
      <c r="E152" s="447" t="s">
        <v>209</v>
      </c>
      <c r="F152" s="448"/>
      <c r="G152" s="448"/>
      <c r="H152" s="448"/>
      <c r="I152" s="448"/>
      <c r="J152" s="448"/>
      <c r="K152" s="469"/>
      <c r="L152" s="467">
        <v>150</v>
      </c>
      <c r="M152" s="468"/>
      <c r="N152" s="71"/>
      <c r="O152" s="71"/>
      <c r="P152" s="71"/>
      <c r="Q152" s="71"/>
      <c r="R152" s="71"/>
      <c r="S152" s="71"/>
      <c r="T152" s="71"/>
      <c r="U152" s="71"/>
    </row>
    <row r="153" spans="1:21">
      <c r="A153" s="297"/>
      <c r="B153" s="297"/>
      <c r="C153" s="405"/>
      <c r="D153" s="472" t="s">
        <v>67</v>
      </c>
      <c r="E153" s="447" t="s">
        <v>210</v>
      </c>
      <c r="F153" s="448"/>
      <c r="G153" s="448"/>
      <c r="H153" s="448"/>
      <c r="I153" s="448"/>
      <c r="J153" s="448"/>
      <c r="K153" s="469"/>
      <c r="L153" s="467">
        <v>100</v>
      </c>
      <c r="M153" s="468"/>
      <c r="N153" s="71"/>
      <c r="O153" s="71"/>
      <c r="P153" s="71"/>
      <c r="Q153" s="71"/>
      <c r="R153" s="71"/>
      <c r="S153" s="71"/>
      <c r="T153" s="71"/>
      <c r="U153" s="71"/>
    </row>
    <row r="154" spans="1:21" ht="15.75" thickBot="1">
      <c r="A154" s="297"/>
      <c r="B154" s="297"/>
      <c r="C154" s="405"/>
      <c r="D154" s="323" t="s">
        <v>69</v>
      </c>
      <c r="E154" s="473" t="s">
        <v>211</v>
      </c>
      <c r="F154" s="474"/>
      <c r="G154" s="474"/>
      <c r="H154" s="474"/>
      <c r="I154" s="474"/>
      <c r="J154" s="474"/>
      <c r="K154" s="475"/>
      <c r="L154" s="476">
        <v>1600</v>
      </c>
      <c r="M154" s="477"/>
      <c r="N154" s="71"/>
      <c r="O154" s="71"/>
      <c r="P154" s="71"/>
      <c r="Q154" s="71"/>
      <c r="R154" s="71"/>
      <c r="S154" s="71"/>
      <c r="T154" s="71"/>
      <c r="U154" s="71"/>
    </row>
    <row r="155" spans="1:21" ht="17.25" thickBot="1">
      <c r="A155" s="297"/>
      <c r="B155" s="297"/>
      <c r="C155" s="405"/>
      <c r="D155" s="396"/>
      <c r="E155" s="426" t="s">
        <v>140</v>
      </c>
      <c r="F155" s="478"/>
      <c r="G155" s="478"/>
      <c r="H155" s="478"/>
      <c r="I155" s="478"/>
      <c r="J155" s="478"/>
      <c r="K155" s="479"/>
      <c r="L155" s="426">
        <f>SUM(L146:M154)</f>
        <v>28650</v>
      </c>
      <c r="M155" s="427"/>
      <c r="N155" s="71"/>
      <c r="O155" s="71"/>
      <c r="P155" s="71"/>
      <c r="Q155" s="71"/>
      <c r="R155" s="71"/>
      <c r="S155" s="71"/>
      <c r="T155" s="71"/>
      <c r="U155" s="71"/>
    </row>
    <row r="156" spans="1:21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</row>
    <row r="157" spans="1:21" ht="15.75" thickBot="1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</row>
    <row r="158" spans="1:21" ht="19.5" thickBot="1">
      <c r="A158" s="480" t="s">
        <v>212</v>
      </c>
      <c r="B158" s="338" t="s">
        <v>213</v>
      </c>
      <c r="C158" s="339"/>
      <c r="D158" s="339"/>
      <c r="E158" s="339"/>
      <c r="F158" s="339"/>
      <c r="G158" s="339"/>
      <c r="H158" s="339"/>
      <c r="I158" s="339"/>
      <c r="J158" s="339"/>
      <c r="K158" s="339"/>
      <c r="L158" s="339"/>
      <c r="M158" s="340"/>
      <c r="N158" s="71"/>
      <c r="O158" s="71"/>
      <c r="P158" s="71"/>
      <c r="Q158" s="71"/>
      <c r="R158" s="71"/>
      <c r="S158" s="71"/>
      <c r="T158" s="71"/>
      <c r="U158" s="71"/>
    </row>
    <row r="159" spans="1:21" ht="16.5" thickBot="1">
      <c r="A159" s="481" t="s">
        <v>214</v>
      </c>
      <c r="B159" s="482" t="s">
        <v>215</v>
      </c>
      <c r="C159" s="483"/>
      <c r="D159" s="483"/>
      <c r="E159" s="483"/>
      <c r="F159" s="483"/>
      <c r="G159" s="483"/>
      <c r="H159" s="483"/>
      <c r="I159" s="483"/>
      <c r="J159" s="483"/>
      <c r="K159" s="484"/>
      <c r="L159" s="482" t="s">
        <v>26</v>
      </c>
      <c r="M159" s="484"/>
      <c r="N159" s="71"/>
      <c r="O159" s="71"/>
      <c r="P159" s="71"/>
      <c r="Q159" s="71"/>
      <c r="R159" s="71"/>
      <c r="S159" s="71"/>
      <c r="T159" s="71"/>
      <c r="U159" s="71"/>
    </row>
    <row r="160" spans="1:21">
      <c r="A160" s="306" t="s">
        <v>28</v>
      </c>
      <c r="B160" s="485" t="s">
        <v>216</v>
      </c>
      <c r="C160" s="486"/>
      <c r="D160" s="486"/>
      <c r="E160" s="486"/>
      <c r="F160" s="486"/>
      <c r="G160" s="486"/>
      <c r="H160" s="486"/>
      <c r="I160" s="486"/>
      <c r="J160" s="486"/>
      <c r="K160" s="487"/>
      <c r="L160" s="488">
        <v>17600</v>
      </c>
      <c r="M160" s="489"/>
      <c r="N160" s="71"/>
      <c r="O160" s="71"/>
      <c r="P160" s="71"/>
      <c r="Q160" s="71"/>
      <c r="R160" s="71"/>
      <c r="S160" s="71"/>
      <c r="T160" s="71"/>
      <c r="U160" s="71"/>
    </row>
    <row r="161" spans="1:21">
      <c r="A161" s="306" t="s">
        <v>30</v>
      </c>
      <c r="B161" s="485" t="s">
        <v>217</v>
      </c>
      <c r="C161" s="486"/>
      <c r="D161" s="486"/>
      <c r="E161" s="486"/>
      <c r="F161" s="486"/>
      <c r="G161" s="486"/>
      <c r="H161" s="486"/>
      <c r="I161" s="486"/>
      <c r="J161" s="486"/>
      <c r="K161" s="487"/>
      <c r="L161" s="488">
        <v>4400</v>
      </c>
      <c r="M161" s="489"/>
      <c r="N161" s="71"/>
      <c r="O161" s="71"/>
      <c r="P161" s="71"/>
      <c r="Q161" s="71"/>
      <c r="R161" s="71"/>
      <c r="S161" s="71"/>
      <c r="T161" s="71"/>
      <c r="U161" s="71"/>
    </row>
    <row r="162" spans="1:21">
      <c r="A162" s="306" t="s">
        <v>32</v>
      </c>
      <c r="B162" s="485" t="s">
        <v>218</v>
      </c>
      <c r="C162" s="486"/>
      <c r="D162" s="486"/>
      <c r="E162" s="486"/>
      <c r="F162" s="486"/>
      <c r="G162" s="486"/>
      <c r="H162" s="486"/>
      <c r="I162" s="486"/>
      <c r="J162" s="486"/>
      <c r="K162" s="487"/>
      <c r="L162" s="488">
        <v>69132</v>
      </c>
      <c r="M162" s="489"/>
      <c r="N162" s="71"/>
      <c r="O162" s="71"/>
      <c r="P162" s="71"/>
      <c r="Q162" s="71"/>
      <c r="R162" s="71"/>
      <c r="S162" s="71"/>
      <c r="T162" s="71"/>
      <c r="U162" s="71"/>
    </row>
    <row r="163" spans="1:21">
      <c r="A163" s="306" t="s">
        <v>43</v>
      </c>
      <c r="B163" s="485" t="s">
        <v>219</v>
      </c>
      <c r="C163" s="486"/>
      <c r="D163" s="486"/>
      <c r="E163" s="486"/>
      <c r="F163" s="486"/>
      <c r="G163" s="486"/>
      <c r="H163" s="486"/>
      <c r="I163" s="486"/>
      <c r="J163" s="486"/>
      <c r="K163" s="487"/>
      <c r="L163" s="488">
        <v>390041</v>
      </c>
      <c r="M163" s="489"/>
      <c r="N163" s="71"/>
      <c r="O163" s="71"/>
      <c r="P163" s="71"/>
      <c r="Q163" s="71"/>
      <c r="R163" s="71"/>
      <c r="S163" s="71"/>
      <c r="T163" s="71"/>
      <c r="U163" s="71"/>
    </row>
    <row r="164" spans="1:21">
      <c r="A164" s="306" t="s">
        <v>46</v>
      </c>
      <c r="B164" s="485" t="s">
        <v>220</v>
      </c>
      <c r="C164" s="486"/>
      <c r="D164" s="486"/>
      <c r="E164" s="486"/>
      <c r="F164" s="486"/>
      <c r="G164" s="486"/>
      <c r="H164" s="486"/>
      <c r="I164" s="486"/>
      <c r="J164" s="486"/>
      <c r="K164" s="487"/>
      <c r="L164" s="488">
        <v>96901</v>
      </c>
      <c r="M164" s="489"/>
      <c r="N164" s="71"/>
      <c r="O164" s="71"/>
      <c r="P164" s="71"/>
      <c r="Q164" s="71"/>
      <c r="R164" s="71"/>
      <c r="S164" s="71"/>
      <c r="T164" s="71"/>
      <c r="U164" s="71"/>
    </row>
    <row r="165" spans="1:21">
      <c r="A165" s="306" t="s">
        <v>49</v>
      </c>
      <c r="B165" s="485" t="s">
        <v>221</v>
      </c>
      <c r="C165" s="486"/>
      <c r="D165" s="486"/>
      <c r="E165" s="486"/>
      <c r="F165" s="486"/>
      <c r="G165" s="486"/>
      <c r="H165" s="486"/>
      <c r="I165" s="486"/>
      <c r="J165" s="486"/>
      <c r="K165" s="487"/>
      <c r="L165" s="488">
        <v>49465</v>
      </c>
      <c r="M165" s="489"/>
      <c r="N165" s="71"/>
      <c r="O165" s="71"/>
      <c r="P165" s="71"/>
      <c r="Q165" s="71"/>
      <c r="R165" s="71"/>
      <c r="S165" s="71"/>
      <c r="T165" s="71"/>
      <c r="U165" s="71"/>
    </row>
    <row r="166" spans="1:21">
      <c r="A166" s="306" t="s">
        <v>65</v>
      </c>
      <c r="B166" s="485" t="s">
        <v>222</v>
      </c>
      <c r="C166" s="486"/>
      <c r="D166" s="486"/>
      <c r="E166" s="486"/>
      <c r="F166" s="486"/>
      <c r="G166" s="486"/>
      <c r="H166" s="486"/>
      <c r="I166" s="486"/>
      <c r="J166" s="486"/>
      <c r="K166" s="487"/>
      <c r="L166" s="488">
        <v>6512</v>
      </c>
      <c r="M166" s="489"/>
      <c r="N166" s="71"/>
      <c r="O166" s="71"/>
      <c r="P166" s="71"/>
      <c r="Q166" s="71"/>
      <c r="R166" s="71"/>
      <c r="S166" s="71"/>
      <c r="T166" s="71"/>
      <c r="U166" s="71"/>
    </row>
    <row r="167" spans="1:21">
      <c r="A167" s="306" t="s">
        <v>67</v>
      </c>
      <c r="B167" s="485" t="s">
        <v>223</v>
      </c>
      <c r="C167" s="486"/>
      <c r="D167" s="486"/>
      <c r="E167" s="486"/>
      <c r="F167" s="486"/>
      <c r="G167" s="486"/>
      <c r="H167" s="486"/>
      <c r="I167" s="486"/>
      <c r="J167" s="486"/>
      <c r="K167" s="487"/>
      <c r="L167" s="488">
        <v>201</v>
      </c>
      <c r="M167" s="489"/>
      <c r="N167" s="71"/>
      <c r="O167" s="71"/>
      <c r="P167" s="71"/>
      <c r="Q167" s="71"/>
      <c r="R167" s="71"/>
      <c r="S167" s="71"/>
      <c r="T167" s="71"/>
      <c r="U167" s="71"/>
    </row>
    <row r="168" spans="1:21">
      <c r="A168" s="306" t="s">
        <v>69</v>
      </c>
      <c r="B168" s="485" t="s">
        <v>224</v>
      </c>
      <c r="C168" s="486"/>
      <c r="D168" s="486"/>
      <c r="E168" s="486"/>
      <c r="F168" s="486"/>
      <c r="G168" s="486"/>
      <c r="H168" s="486"/>
      <c r="I168" s="486"/>
      <c r="J168" s="486"/>
      <c r="K168" s="487"/>
      <c r="L168" s="488">
        <v>1608</v>
      </c>
      <c r="M168" s="489"/>
      <c r="N168" s="71"/>
      <c r="O168" s="71"/>
      <c r="P168" s="71"/>
      <c r="Q168" s="71"/>
      <c r="R168" s="71"/>
      <c r="S168" s="71"/>
      <c r="T168" s="71"/>
      <c r="U168" s="71"/>
    </row>
    <row r="169" spans="1:21">
      <c r="A169" s="306" t="s">
        <v>71</v>
      </c>
      <c r="B169" s="485" t="s">
        <v>225</v>
      </c>
      <c r="C169" s="486"/>
      <c r="D169" s="486"/>
      <c r="E169" s="486"/>
      <c r="F169" s="486"/>
      <c r="G169" s="486"/>
      <c r="H169" s="486"/>
      <c r="I169" s="486"/>
      <c r="J169" s="486"/>
      <c r="K169" s="487"/>
      <c r="L169" s="488">
        <v>1005</v>
      </c>
      <c r="M169" s="489"/>
      <c r="N169" s="71"/>
      <c r="O169" s="71"/>
      <c r="P169" s="71"/>
      <c r="Q169" s="71"/>
      <c r="R169" s="71"/>
      <c r="S169" s="71"/>
      <c r="T169" s="71"/>
      <c r="U169" s="71"/>
    </row>
    <row r="170" spans="1:21" ht="15.75" thickBot="1">
      <c r="A170" s="306" t="s">
        <v>89</v>
      </c>
      <c r="B170" s="485" t="s">
        <v>226</v>
      </c>
      <c r="C170" s="486"/>
      <c r="D170" s="486"/>
      <c r="E170" s="486"/>
      <c r="F170" s="486"/>
      <c r="G170" s="486"/>
      <c r="H170" s="486"/>
      <c r="I170" s="486"/>
      <c r="J170" s="486"/>
      <c r="K170" s="487"/>
      <c r="L170" s="488">
        <v>1358</v>
      </c>
      <c r="M170" s="489"/>
      <c r="N170" s="71"/>
      <c r="O170" s="71"/>
      <c r="P170" s="71"/>
      <c r="Q170" s="71"/>
      <c r="R170" s="71"/>
      <c r="S170" s="71"/>
      <c r="T170" s="71"/>
      <c r="U170" s="71"/>
    </row>
    <row r="171" spans="1:21" ht="19.5" thickBot="1">
      <c r="A171" s="293" t="s">
        <v>227</v>
      </c>
      <c r="B171" s="294"/>
      <c r="C171" s="294"/>
      <c r="D171" s="294"/>
      <c r="E171" s="294"/>
      <c r="F171" s="294"/>
      <c r="G171" s="294"/>
      <c r="H171" s="294"/>
      <c r="I171" s="294"/>
      <c r="J171" s="294"/>
      <c r="K171" s="295"/>
      <c r="L171" s="490">
        <f>SUM(L160:M170)</f>
        <v>638223</v>
      </c>
      <c r="M171" s="491"/>
      <c r="N171" s="71"/>
      <c r="O171" s="71"/>
      <c r="P171" s="71"/>
      <c r="Q171" s="71"/>
      <c r="R171" s="71"/>
      <c r="S171" s="71"/>
      <c r="T171" s="71"/>
      <c r="U171" s="71"/>
    </row>
  </sheetData>
  <mergeCells count="416">
    <mergeCell ref="B170:K170"/>
    <mergeCell ref="L170:M170"/>
    <mergeCell ref="A171:K171"/>
    <mergeCell ref="L171:M171"/>
    <mergeCell ref="B167:K167"/>
    <mergeCell ref="L167:M167"/>
    <mergeCell ref="B168:K168"/>
    <mergeCell ref="L168:M168"/>
    <mergeCell ref="B169:K169"/>
    <mergeCell ref="L169:M169"/>
    <mergeCell ref="B164:K164"/>
    <mergeCell ref="L164:M164"/>
    <mergeCell ref="B165:K165"/>
    <mergeCell ref="L165:M165"/>
    <mergeCell ref="B166:K166"/>
    <mergeCell ref="L166:M166"/>
    <mergeCell ref="B161:K161"/>
    <mergeCell ref="L161:M161"/>
    <mergeCell ref="B162:K162"/>
    <mergeCell ref="L162:M162"/>
    <mergeCell ref="B163:K163"/>
    <mergeCell ref="L163:M163"/>
    <mergeCell ref="E155:K155"/>
    <mergeCell ref="L155:M155"/>
    <mergeCell ref="B158:M158"/>
    <mergeCell ref="B159:K159"/>
    <mergeCell ref="L159:M159"/>
    <mergeCell ref="B160:K160"/>
    <mergeCell ref="L160:M160"/>
    <mergeCell ref="E152:K152"/>
    <mergeCell ref="L152:M152"/>
    <mergeCell ref="E153:K153"/>
    <mergeCell ref="L153:M153"/>
    <mergeCell ref="E154:K154"/>
    <mergeCell ref="L154:M154"/>
    <mergeCell ref="E149:K149"/>
    <mergeCell ref="L149:M149"/>
    <mergeCell ref="E150:K150"/>
    <mergeCell ref="L150:M150"/>
    <mergeCell ref="E151:K151"/>
    <mergeCell ref="L151:M151"/>
    <mergeCell ref="B145:D145"/>
    <mergeCell ref="E146:K146"/>
    <mergeCell ref="L146:M146"/>
    <mergeCell ref="E147:K147"/>
    <mergeCell ref="L147:M147"/>
    <mergeCell ref="E148:K148"/>
    <mergeCell ref="L148:M148"/>
    <mergeCell ref="E140:K140"/>
    <mergeCell ref="L140:M140"/>
    <mergeCell ref="E141:K141"/>
    <mergeCell ref="L141:M141"/>
    <mergeCell ref="E142:K142"/>
    <mergeCell ref="L142:M142"/>
    <mergeCell ref="E137:K137"/>
    <mergeCell ref="L137:M137"/>
    <mergeCell ref="E138:K138"/>
    <mergeCell ref="L138:M138"/>
    <mergeCell ref="E139:K139"/>
    <mergeCell ref="L139:M139"/>
    <mergeCell ref="E134:K134"/>
    <mergeCell ref="L134:M134"/>
    <mergeCell ref="E135:K135"/>
    <mergeCell ref="L135:M135"/>
    <mergeCell ref="E136:K136"/>
    <mergeCell ref="L136:M136"/>
    <mergeCell ref="E131:K131"/>
    <mergeCell ref="L131:M131"/>
    <mergeCell ref="E132:K132"/>
    <mergeCell ref="L132:M132"/>
    <mergeCell ref="E133:K133"/>
    <mergeCell ref="L133:M133"/>
    <mergeCell ref="B125:D125"/>
    <mergeCell ref="E126:K126"/>
    <mergeCell ref="L126:M126"/>
    <mergeCell ref="E127:K127"/>
    <mergeCell ref="L127:M127"/>
    <mergeCell ref="B130:D130"/>
    <mergeCell ref="E120:K120"/>
    <mergeCell ref="L120:M120"/>
    <mergeCell ref="E121:K121"/>
    <mergeCell ref="L121:M121"/>
    <mergeCell ref="E122:K122"/>
    <mergeCell ref="L122:M122"/>
    <mergeCell ref="E117:K117"/>
    <mergeCell ref="L117:M117"/>
    <mergeCell ref="E118:K118"/>
    <mergeCell ref="L118:M118"/>
    <mergeCell ref="E119:K119"/>
    <mergeCell ref="L119:M119"/>
    <mergeCell ref="E111:K111"/>
    <mergeCell ref="L111:M111"/>
    <mergeCell ref="B114:D114"/>
    <mergeCell ref="E115:K115"/>
    <mergeCell ref="L115:M115"/>
    <mergeCell ref="E116:K116"/>
    <mergeCell ref="L116:M116"/>
    <mergeCell ref="E107:I107"/>
    <mergeCell ref="M107:N107"/>
    <mergeCell ref="O107:P107"/>
    <mergeCell ref="Q107:R107"/>
    <mergeCell ref="B109:D109"/>
    <mergeCell ref="E110:K110"/>
    <mergeCell ref="L110:M110"/>
    <mergeCell ref="E105:I105"/>
    <mergeCell ref="M105:N105"/>
    <mergeCell ref="O105:P105"/>
    <mergeCell ref="Q105:R105"/>
    <mergeCell ref="E106:I106"/>
    <mergeCell ref="M106:N106"/>
    <mergeCell ref="O106:P106"/>
    <mergeCell ref="Q106:R106"/>
    <mergeCell ref="E103:I103"/>
    <mergeCell ref="M103:N103"/>
    <mergeCell ref="O103:P103"/>
    <mergeCell ref="Q103:R103"/>
    <mergeCell ref="E104:I104"/>
    <mergeCell ref="M104:N104"/>
    <mergeCell ref="O104:P104"/>
    <mergeCell ref="Q104:R104"/>
    <mergeCell ref="E101:I101"/>
    <mergeCell ref="M101:N101"/>
    <mergeCell ref="O101:P101"/>
    <mergeCell ref="Q101:R101"/>
    <mergeCell ref="E102:I102"/>
    <mergeCell ref="M102:N102"/>
    <mergeCell ref="O102:P102"/>
    <mergeCell ref="Q102:R102"/>
    <mergeCell ref="E99:I99"/>
    <mergeCell ref="M99:N99"/>
    <mergeCell ref="O99:P99"/>
    <mergeCell ref="Q99:R99"/>
    <mergeCell ref="E100:I100"/>
    <mergeCell ref="M100:N100"/>
    <mergeCell ref="O100:P100"/>
    <mergeCell ref="Q100:R100"/>
    <mergeCell ref="E97:I97"/>
    <mergeCell ref="M97:N97"/>
    <mergeCell ref="O97:P97"/>
    <mergeCell ref="Q97:R97"/>
    <mergeCell ref="E98:I98"/>
    <mergeCell ref="M98:N98"/>
    <mergeCell ref="O98:P98"/>
    <mergeCell ref="Q98:R98"/>
    <mergeCell ref="E95:I95"/>
    <mergeCell ref="M95:N95"/>
    <mergeCell ref="O95:P95"/>
    <mergeCell ref="Q95:R95"/>
    <mergeCell ref="E96:I96"/>
    <mergeCell ref="M96:N96"/>
    <mergeCell ref="O96:P96"/>
    <mergeCell ref="Q96:R96"/>
    <mergeCell ref="E93:I93"/>
    <mergeCell ref="M93:N93"/>
    <mergeCell ref="O93:P93"/>
    <mergeCell ref="Q93:R93"/>
    <mergeCell ref="E94:I94"/>
    <mergeCell ref="M94:N94"/>
    <mergeCell ref="O94:P94"/>
    <mergeCell ref="Q94:R94"/>
    <mergeCell ref="E91:I91"/>
    <mergeCell ref="M91:N91"/>
    <mergeCell ref="O91:P91"/>
    <mergeCell ref="Q91:R91"/>
    <mergeCell ref="E92:I92"/>
    <mergeCell ref="M92:N92"/>
    <mergeCell ref="O92:P92"/>
    <mergeCell ref="Q92:R92"/>
    <mergeCell ref="E89:I89"/>
    <mergeCell ref="M89:N89"/>
    <mergeCell ref="O89:P89"/>
    <mergeCell ref="Q89:R89"/>
    <mergeCell ref="E90:I90"/>
    <mergeCell ref="M90:N90"/>
    <mergeCell ref="O90:P90"/>
    <mergeCell ref="Q90:R90"/>
    <mergeCell ref="E87:I87"/>
    <mergeCell ref="M87:N87"/>
    <mergeCell ref="O87:P87"/>
    <mergeCell ref="Q87:R87"/>
    <mergeCell ref="E88:I88"/>
    <mergeCell ref="M88:N88"/>
    <mergeCell ref="O88:P88"/>
    <mergeCell ref="Q88:R88"/>
    <mergeCell ref="B84:D84"/>
    <mergeCell ref="E85:I85"/>
    <mergeCell ref="M85:N85"/>
    <mergeCell ref="O85:P85"/>
    <mergeCell ref="Q85:R85"/>
    <mergeCell ref="E86:I86"/>
    <mergeCell ref="M86:N86"/>
    <mergeCell ref="O86:P86"/>
    <mergeCell ref="Q86:R86"/>
    <mergeCell ref="E82:I82"/>
    <mergeCell ref="J82:K82"/>
    <mergeCell ref="L82:M82"/>
    <mergeCell ref="N82:O82"/>
    <mergeCell ref="P82:Q82"/>
    <mergeCell ref="R82:S82"/>
    <mergeCell ref="E81:I81"/>
    <mergeCell ref="J81:K81"/>
    <mergeCell ref="L81:M81"/>
    <mergeCell ref="N81:O81"/>
    <mergeCell ref="P81:Q81"/>
    <mergeCell ref="R81:S81"/>
    <mergeCell ref="E80:I80"/>
    <mergeCell ref="J80:K80"/>
    <mergeCell ref="L80:M80"/>
    <mergeCell ref="N80:O80"/>
    <mergeCell ref="P80:Q80"/>
    <mergeCell ref="R80:S80"/>
    <mergeCell ref="E79:I79"/>
    <mergeCell ref="J79:K79"/>
    <mergeCell ref="L79:M79"/>
    <mergeCell ref="N79:O79"/>
    <mergeCell ref="P79:Q79"/>
    <mergeCell ref="R79:S79"/>
    <mergeCell ref="E78:I78"/>
    <mergeCell ref="J78:K78"/>
    <mergeCell ref="L78:M78"/>
    <mergeCell ref="N78:O78"/>
    <mergeCell ref="P78:Q78"/>
    <mergeCell ref="R78:S78"/>
    <mergeCell ref="E77:I77"/>
    <mergeCell ref="J77:K77"/>
    <mergeCell ref="L77:M77"/>
    <mergeCell ref="N77:O77"/>
    <mergeCell ref="P77:Q77"/>
    <mergeCell ref="R77:S77"/>
    <mergeCell ref="E76:I76"/>
    <mergeCell ref="J76:K76"/>
    <mergeCell ref="L76:M76"/>
    <mergeCell ref="N76:O76"/>
    <mergeCell ref="P76:Q76"/>
    <mergeCell ref="R76:S76"/>
    <mergeCell ref="A71:B71"/>
    <mergeCell ref="C71:E71"/>
    <mergeCell ref="R71:S71"/>
    <mergeCell ref="B74:D74"/>
    <mergeCell ref="E75:I75"/>
    <mergeCell ref="J75:K75"/>
    <mergeCell ref="L75:M75"/>
    <mergeCell ref="N75:O75"/>
    <mergeCell ref="P75:Q75"/>
    <mergeCell ref="R75:S75"/>
    <mergeCell ref="C68:E68"/>
    <mergeCell ref="R68:S68"/>
    <mergeCell ref="C69:E69"/>
    <mergeCell ref="R69:S69"/>
    <mergeCell ref="C70:E70"/>
    <mergeCell ref="R70:S70"/>
    <mergeCell ref="Q64:Q65"/>
    <mergeCell ref="R64:S65"/>
    <mergeCell ref="C66:E66"/>
    <mergeCell ref="R66:S66"/>
    <mergeCell ref="C67:E67"/>
    <mergeCell ref="R67:S67"/>
    <mergeCell ref="K64:K65"/>
    <mergeCell ref="L64:L65"/>
    <mergeCell ref="M64:M65"/>
    <mergeCell ref="N64:N65"/>
    <mergeCell ref="O64:O65"/>
    <mergeCell ref="P64:P65"/>
    <mergeCell ref="C63:J63"/>
    <mergeCell ref="K63:S63"/>
    <mergeCell ref="A64:A65"/>
    <mergeCell ref="B64:B65"/>
    <mergeCell ref="C64:E65"/>
    <mergeCell ref="F64:F65"/>
    <mergeCell ref="G64:G65"/>
    <mergeCell ref="H64:H65"/>
    <mergeCell ref="I64:I65"/>
    <mergeCell ref="J64:J65"/>
    <mergeCell ref="C58:H58"/>
    <mergeCell ref="I58:M58"/>
    <mergeCell ref="N58:S58"/>
    <mergeCell ref="A59:B60"/>
    <mergeCell ref="C59:H60"/>
    <mergeCell ref="I59:M60"/>
    <mergeCell ref="N59:S60"/>
    <mergeCell ref="C56:H56"/>
    <mergeCell ref="I56:M56"/>
    <mergeCell ref="N56:S56"/>
    <mergeCell ref="C57:H57"/>
    <mergeCell ref="I57:M57"/>
    <mergeCell ref="N57:S57"/>
    <mergeCell ref="C54:H54"/>
    <mergeCell ref="I54:M54"/>
    <mergeCell ref="N54:S54"/>
    <mergeCell ref="C55:H55"/>
    <mergeCell ref="I55:M55"/>
    <mergeCell ref="N55:S55"/>
    <mergeCell ref="C52:H52"/>
    <mergeCell ref="I52:M52"/>
    <mergeCell ref="N52:S52"/>
    <mergeCell ref="C53:H53"/>
    <mergeCell ref="I53:M53"/>
    <mergeCell ref="N53:S53"/>
    <mergeCell ref="C50:H50"/>
    <mergeCell ref="I50:M50"/>
    <mergeCell ref="N50:S50"/>
    <mergeCell ref="C51:H51"/>
    <mergeCell ref="I51:M51"/>
    <mergeCell ref="N51:S51"/>
    <mergeCell ref="C48:H48"/>
    <mergeCell ref="I48:M48"/>
    <mergeCell ref="N48:S48"/>
    <mergeCell ref="C49:H49"/>
    <mergeCell ref="I49:M49"/>
    <mergeCell ref="N49:S49"/>
    <mergeCell ref="C46:H46"/>
    <mergeCell ref="I46:M46"/>
    <mergeCell ref="N46:S46"/>
    <mergeCell ref="C47:H47"/>
    <mergeCell ref="I47:M47"/>
    <mergeCell ref="N47:S47"/>
    <mergeCell ref="C44:H44"/>
    <mergeCell ref="I44:M44"/>
    <mergeCell ref="N44:S44"/>
    <mergeCell ref="C45:H45"/>
    <mergeCell ref="I45:M45"/>
    <mergeCell ref="N45:S45"/>
    <mergeCell ref="C42:H42"/>
    <mergeCell ref="I42:M42"/>
    <mergeCell ref="N42:S42"/>
    <mergeCell ref="C43:H43"/>
    <mergeCell ref="I43:M43"/>
    <mergeCell ref="N43:S43"/>
    <mergeCell ref="A38:S39"/>
    <mergeCell ref="C40:H40"/>
    <mergeCell ref="I40:M40"/>
    <mergeCell ref="N40:S40"/>
    <mergeCell ref="C41:H41"/>
    <mergeCell ref="I41:M41"/>
    <mergeCell ref="N41:S41"/>
    <mergeCell ref="B32:G32"/>
    <mergeCell ref="H32:I32"/>
    <mergeCell ref="B33:G33"/>
    <mergeCell ref="H33:I33"/>
    <mergeCell ref="A34:G34"/>
    <mergeCell ref="H34:I34"/>
    <mergeCell ref="B29:G29"/>
    <mergeCell ref="H29:I29"/>
    <mergeCell ref="B30:G30"/>
    <mergeCell ref="H30:I30"/>
    <mergeCell ref="B31:G31"/>
    <mergeCell ref="H31:I31"/>
    <mergeCell ref="B26:G26"/>
    <mergeCell ref="H26:I26"/>
    <mergeCell ref="B27:G27"/>
    <mergeCell ref="H27:I27"/>
    <mergeCell ref="B28:G28"/>
    <mergeCell ref="H28:I28"/>
    <mergeCell ref="B24:G24"/>
    <mergeCell ref="H24:I24"/>
    <mergeCell ref="N24:O24"/>
    <mergeCell ref="P24:Q24"/>
    <mergeCell ref="R24:S24"/>
    <mergeCell ref="B25:G25"/>
    <mergeCell ref="H25:I25"/>
    <mergeCell ref="N25:O25"/>
    <mergeCell ref="P25:Q25"/>
    <mergeCell ref="A21:G21"/>
    <mergeCell ref="H21:I21"/>
    <mergeCell ref="M21:R21"/>
    <mergeCell ref="S21:U21"/>
    <mergeCell ref="B23:G23"/>
    <mergeCell ref="H23:I23"/>
    <mergeCell ref="N23:S23"/>
    <mergeCell ref="B19:G19"/>
    <mergeCell ref="H19:I19"/>
    <mergeCell ref="M19:R19"/>
    <mergeCell ref="S19:U19"/>
    <mergeCell ref="B20:G20"/>
    <mergeCell ref="H20:I20"/>
    <mergeCell ref="M20:R20"/>
    <mergeCell ref="S20:U20"/>
    <mergeCell ref="B17:G17"/>
    <mergeCell ref="H17:I17"/>
    <mergeCell ref="M17:R17"/>
    <mergeCell ref="S17:U17"/>
    <mergeCell ref="B18:G18"/>
    <mergeCell ref="H18:I18"/>
    <mergeCell ref="M18:R18"/>
    <mergeCell ref="S18:U18"/>
    <mergeCell ref="B15:G15"/>
    <mergeCell ref="H15:I15"/>
    <mergeCell ref="M15:R15"/>
    <mergeCell ref="S15:U15"/>
    <mergeCell ref="B16:G16"/>
    <mergeCell ref="H16:I16"/>
    <mergeCell ref="M16:R16"/>
    <mergeCell ref="S16:U16"/>
    <mergeCell ref="B10:C10"/>
    <mergeCell ref="T10:U10"/>
    <mergeCell ref="A12:C12"/>
    <mergeCell ref="T12:U12"/>
    <mergeCell ref="B14:G14"/>
    <mergeCell ref="H14:I14"/>
    <mergeCell ref="M14:R14"/>
    <mergeCell ref="S14:U14"/>
    <mergeCell ref="A6:C6"/>
    <mergeCell ref="T6:U6"/>
    <mergeCell ref="B8:C8"/>
    <mergeCell ref="T8:U8"/>
    <mergeCell ref="B9:C9"/>
    <mergeCell ref="T9:U9"/>
    <mergeCell ref="A1:U1"/>
    <mergeCell ref="A2:M2"/>
    <mergeCell ref="N2:U2"/>
    <mergeCell ref="A3:C3"/>
    <mergeCell ref="D3:U3"/>
    <mergeCell ref="A4:A5"/>
    <mergeCell ref="B4:C5"/>
    <mergeCell ref="T4:U4"/>
    <mergeCell ref="T5:U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2026-09-28T10:55:02Z</dcterms:modified>
</cp:coreProperties>
</file>